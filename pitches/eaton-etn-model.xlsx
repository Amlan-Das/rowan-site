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onsensus DCF" sheetId="4" state="visible" r:id="rId4"/>
    <sheet xmlns:r="http://schemas.openxmlformats.org/officeDocument/2006/relationships" name="Reverse DCF" sheetId="5" state="visible" r:id="rId5"/>
    <sheet xmlns:r="http://schemas.openxmlformats.org/officeDocument/2006/relationships" name="WACC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Cash Flow" sheetId="8" state="visible" r:id="rId8"/>
  </sheets>
  <definedNames/>
  <calcPr calcId="124519" fullCalcOnLoad="1" refMode="A1" iterate="1" iterateCount="100" iterateDelta="0.0001"/>
</workbook>
</file>

<file path=xl/styles.xml><?xml version="1.0" encoding="utf-8"?>
<styleSheet xmlns="http://schemas.openxmlformats.org/spreadsheetml/2006/main">
  <numFmts count="18">
    <numFmt numFmtId="164" formatCode="_(* #,##0_);_(* \(#,##0\);_(* \-??_);_(@_)"/>
    <numFmt numFmtId="165" formatCode="_(* #,##0.00_);_(* \(#,##0.00\);_(* \-??_);_(@_)"/>
    <numFmt numFmtId="166" formatCode="#,##0.0_);\(#,##0.0\);\-_)"/>
    <numFmt numFmtId="167" formatCode="_(* #,##0.0_);_(* \(#,##0.0\);_(* \-??_);_(@_)"/>
    <numFmt numFmtId="168" formatCode="0.0%"/>
    <numFmt numFmtId="169" formatCode="0.00\x"/>
    <numFmt numFmtId="170" formatCode="#,##0_);\(#,##0\);\-_)"/>
    <numFmt numFmtId="171" formatCode="0.0%;\(0.0%\);\-"/>
    <numFmt numFmtId="172" formatCode="#,##0.00_);\(#,##0.00\);\-_)"/>
    <numFmt numFmtId="173" formatCode="#,##0_);\(#,##0\)"/>
    <numFmt numFmtId="174" formatCode="0.0\x"/>
    <numFmt numFmtId="175" formatCode="#,##0.0"/>
    <numFmt numFmtId="176" formatCode="\$#,##0.00"/>
    <numFmt numFmtId="177" formatCode="\$#,##0.00;&quot;($&quot;#,##0.00\);\-"/>
    <numFmt numFmtId="178" formatCode="0.0%_);\(0.0%\);\-_)"/>
    <numFmt numFmtId="179" formatCode="0.00%_);\(0.00%\);\-_)"/>
    <numFmt numFmtId="180" formatCode="0.000%"/>
    <numFmt numFmtId="181" formatCode="0.0"/>
  </numFmts>
  <fonts count="30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4"/>
    </font>
    <font>
      <name val="Aptos Narrow"/>
      <charset val="1"/>
      <family val="0"/>
      <b val="1"/>
      <color theme="1"/>
      <sz val="12"/>
    </font>
    <font>
      <name val="Aptos Narrow"/>
      <charset val="1"/>
      <family val="2"/>
      <color theme="1"/>
      <sz val="8"/>
    </font>
    <font>
      <name val="Arial"/>
      <charset val="1"/>
      <family val="2"/>
      <b val="1"/>
      <color rgb="FFFFFFFF"/>
      <sz val="10"/>
    </font>
    <font>
      <name val="Aptos Narrow"/>
      <charset val="1"/>
      <family val="0"/>
      <b val="1"/>
      <color theme="0"/>
      <sz val="12"/>
    </font>
    <font>
      <name val="Aptos Narrow"/>
      <charset val="1"/>
      <family val="0"/>
      <color theme="1"/>
      <sz val="12"/>
    </font>
    <font>
      <name val="Aptos Narrow"/>
      <charset val="1"/>
      <family val="0"/>
      <i val="1"/>
      <color theme="1"/>
      <sz val="12"/>
    </font>
    <font>
      <name val="Calibri"/>
      <charset val="1"/>
      <family val="2"/>
      <sz val="11"/>
    </font>
    <font>
      <name val="Calibri"/>
      <charset val="1"/>
      <family val="2"/>
      <color rgb="FF0000FF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2"/>
    </font>
    <font>
      <name val="Calibri"/>
      <charset val="1"/>
      <family val="2"/>
      <i val="1"/>
      <sz val="11"/>
    </font>
    <font>
      <name val="Aptos Narrow"/>
      <charset val="1"/>
      <family val="2"/>
      <b val="1"/>
      <color theme="1"/>
      <sz val="12"/>
    </font>
    <font>
      <name val="Aptos Narrow"/>
      <charset val="1"/>
      <family val="2"/>
      <i val="1"/>
      <color theme="1"/>
      <sz val="12"/>
    </font>
    <font>
      <name val="Calibri"/>
      <charset val="1"/>
      <family val="2"/>
      <b val="1"/>
      <i val="1"/>
      <sz val="11"/>
    </font>
    <font>
      <name val="Arial"/>
      <family val="2"/>
      <sz val="10"/>
    </font>
    <font>
      <name val="Arial"/>
      <charset val="1"/>
      <family val="2"/>
      <color theme="1"/>
      <sz val="10"/>
    </font>
    <font>
      <name val="Calibri"/>
      <charset val="1"/>
      <family val="0"/>
      <color rgb="FF000000"/>
      <sz val="14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color rgb="FF0000FF"/>
      <sz val="11"/>
    </font>
    <font>
      <name val="Calibri"/>
      <charset val="1"/>
      <family val="0"/>
      <b val="1"/>
      <sz val="14"/>
    </font>
    <font>
      <name val="Calibri"/>
      <charset val="1"/>
      <family val="0"/>
      <b val="1"/>
      <color rgb="FF0000FF"/>
      <sz val="11"/>
    </font>
    <font>
      <name val="Calibri"/>
      <charset val="1"/>
      <family val="2"/>
      <i val="1"/>
      <color rgb="FF595959"/>
      <sz val="9"/>
    </font>
    <font>
      <name val="Arial"/>
      <charset val="1"/>
      <family val="2"/>
      <b val="1"/>
      <sz val="10"/>
    </font>
    <font>
      <name val="Calibri"/>
      <charset val="1"/>
      <family val="0"/>
      <b val="1"/>
      <color rgb="FF000000"/>
      <sz val="14"/>
    </font>
  </fonts>
  <fills count="11">
    <fill>
      <patternFill/>
    </fill>
    <fill>
      <patternFill patternType="gray125"/>
    </fill>
    <fill>
      <patternFill patternType="solid">
        <fgColor rgb="FF1F3864"/>
        <bgColor rgb="FF163E64"/>
      </patternFill>
    </fill>
    <fill>
      <patternFill patternType="solid">
        <fgColor theme="3" tint="0.0998"/>
        <bgColor rgb="FF1F3864"/>
      </patternFill>
    </fill>
    <fill>
      <patternFill patternType="solid">
        <fgColor theme="2" tint="-0.25"/>
        <bgColor rgb="FFA6A6A6"/>
      </patternFill>
    </fill>
    <fill>
      <patternFill patternType="solid">
        <fgColor theme="0" tint="-0.35"/>
        <bgColor rgb="FFAEAEAE"/>
      </patternFill>
    </fill>
    <fill>
      <patternFill patternType="solid">
        <fgColor theme="0" tint="-0.25"/>
        <bgColor rgb="FFAEAEAE"/>
      </patternFill>
    </fill>
    <fill>
      <patternFill patternType="solid">
        <fgColor theme="0" tint="-0.15"/>
        <bgColor rgb="FFE8E8E8"/>
      </patternFill>
    </fill>
    <fill>
      <patternFill patternType="solid">
        <fgColor rgb="FFFFE699"/>
        <bgColor rgb="FFFFCC99"/>
      </patternFill>
    </fill>
    <fill>
      <patternFill patternType="solid">
        <fgColor theme="2"/>
        <bgColor rgb="FFF2F2F2"/>
      </patternFill>
    </fill>
    <fill>
      <patternFill patternType="solid">
        <fgColor rgb="FFF2F2F2"/>
        <bgColor rgb="FFE8E8E8"/>
      </patternFill>
    </fill>
  </fills>
  <borders count="8">
    <border>
      <left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0" fillId="0" borderId="4" applyAlignment="1" pivotButton="0" quotePrefix="0" xfId="0">
      <alignment horizontal="general" vertical="bottom"/>
    </xf>
    <xf numFmtId="164" fontId="0" fillId="0" borderId="5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9" fontId="0" fillId="0" borderId="1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166" fontId="12" fillId="0" borderId="3" applyAlignment="1" pivotButton="0" quotePrefix="0" xfId="0">
      <alignment horizontal="general" vertical="bottom"/>
    </xf>
    <xf numFmtId="0" fontId="13" fillId="0" borderId="5" applyAlignment="1" pivotButton="0" quotePrefix="0" xfId="0">
      <alignment horizontal="general" vertical="bottom"/>
    </xf>
    <xf numFmtId="166" fontId="13" fillId="0" borderId="5" applyAlignment="1" pivotButton="0" quotePrefix="0" xfId="0">
      <alignment horizontal="general" vertical="bottom"/>
    </xf>
    <xf numFmtId="166" fontId="13" fillId="0" borderId="6" applyAlignment="1" pivotButton="0" quotePrefix="0" xfId="0">
      <alignment horizontal="general" vertical="bottom"/>
    </xf>
    <xf numFmtId="9" fontId="14" fillId="0" borderId="0" applyAlignment="1" pivotButton="0" quotePrefix="0" xfId="0">
      <alignment horizontal="general" vertical="bottom"/>
    </xf>
    <xf numFmtId="9" fontId="14" fillId="0" borderId="1" applyAlignment="1" pivotButton="0" quotePrefix="0" xfId="0">
      <alignment horizontal="general" vertical="bottom"/>
    </xf>
    <xf numFmtId="0" fontId="13" fillId="6" borderId="0" applyAlignment="1" pivotButton="0" quotePrefix="0" xfId="0">
      <alignment horizontal="general" vertical="bottom"/>
    </xf>
    <xf numFmtId="9" fontId="14" fillId="6" borderId="0" applyAlignment="1" pivotButton="0" quotePrefix="0" xfId="0">
      <alignment horizontal="general" vertical="bottom"/>
    </xf>
    <xf numFmtId="9" fontId="14" fillId="6" borderId="1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15" fillId="0" borderId="5" applyAlignment="1" pivotButton="0" quotePrefix="0" xfId="0">
      <alignment horizontal="general" vertical="bottom"/>
    </xf>
    <xf numFmtId="0" fontId="17" fillId="0" borderId="5" applyAlignment="1" pivotButton="0" quotePrefix="0" xfId="0">
      <alignment horizontal="general" vertical="bottom"/>
    </xf>
    <xf numFmtId="9" fontId="17" fillId="0" borderId="5" applyAlignment="1" pivotButton="0" quotePrefix="0" xfId="0">
      <alignment horizontal="general" vertical="bottom"/>
    </xf>
    <xf numFmtId="9" fontId="17" fillId="0" borderId="6" applyAlignment="1" pivotButton="0" quotePrefix="0" xfId="0">
      <alignment horizontal="general" vertical="bottom"/>
    </xf>
    <xf numFmtId="9" fontId="17" fillId="0" borderId="4" applyAlignment="1" pivotButton="0" quotePrefix="0" xfId="0">
      <alignment horizontal="general" vertical="bottom"/>
    </xf>
    <xf numFmtId="0" fontId="18" fillId="5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9" fontId="0" fillId="0" borderId="5" applyAlignment="1" pivotButton="0" quotePrefix="0" xfId="0">
      <alignment horizontal="general" vertical="bottom"/>
    </xf>
    <xf numFmtId="9" fontId="0" fillId="0" borderId="6" applyAlignment="1" pivotButton="0" quotePrefix="0" xfId="0">
      <alignment horizontal="general" vertical="bottom"/>
    </xf>
    <xf numFmtId="9" fontId="0" fillId="0" borderId="4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8" fontId="0" fillId="0" borderId="1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9" fontId="5" fillId="0" borderId="0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2" applyAlignment="1" pivotButton="0" quotePrefix="0" xfId="0">
      <alignment horizontal="general" vertical="bottom"/>
    </xf>
    <xf numFmtId="0" fontId="23" fillId="0" borderId="2" applyAlignment="1" pivotButton="0" quotePrefix="0" xfId="0">
      <alignment horizontal="right" vertical="bottom"/>
    </xf>
    <xf numFmtId="170" fontId="24" fillId="0" borderId="0" applyAlignment="1" pivotButton="0" quotePrefix="0" xfId="0">
      <alignment horizontal="general" vertical="bottom"/>
    </xf>
    <xf numFmtId="170" fontId="22" fillId="0" borderId="0" applyAlignment="1" pivotButton="0" quotePrefix="0" xfId="0">
      <alignment horizontal="general" vertical="bottom"/>
    </xf>
    <xf numFmtId="171" fontId="22" fillId="0" borderId="0" applyAlignment="1" pivotButton="0" quotePrefix="0" xfId="0">
      <alignment horizontal="general" vertical="bottom"/>
    </xf>
    <xf numFmtId="9" fontId="22" fillId="0" borderId="0" applyAlignment="1" pivotButton="0" quotePrefix="0" xfId="0">
      <alignment horizontal="general" vertical="bottom"/>
    </xf>
    <xf numFmtId="170" fontId="22" fillId="0" borderId="5" applyAlignment="1" pivotButton="0" quotePrefix="0" xfId="0">
      <alignment horizontal="general" vertical="bottom"/>
    </xf>
    <xf numFmtId="170" fontId="24" fillId="0" borderId="5" applyAlignment="1" pivotButton="0" quotePrefix="0" xfId="0">
      <alignment horizontal="general" vertical="bottom"/>
    </xf>
    <xf numFmtId="166" fontId="24" fillId="0" borderId="0" applyAlignment="1" pivotButton="0" quotePrefix="0" xfId="0">
      <alignment horizontal="general" vertical="bottom"/>
    </xf>
    <xf numFmtId="166" fontId="22" fillId="0" borderId="0" applyAlignment="1" pivotButton="0" quotePrefix="0" xfId="0">
      <alignment horizontal="general" vertical="bottom"/>
    </xf>
    <xf numFmtId="172" fontId="22" fillId="0" borderId="0" applyAlignment="1" pivotButton="0" quotePrefix="0" xfId="0">
      <alignment horizontal="general" vertical="bottom"/>
    </xf>
    <xf numFmtId="172" fontId="24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 indent="1"/>
    </xf>
    <xf numFmtId="170" fontId="0" fillId="0" borderId="0" applyAlignment="1" pivotButton="0" quotePrefix="0" xfId="0">
      <alignment horizontal="general" vertical="bottom"/>
    </xf>
    <xf numFmtId="170" fontId="0" fillId="0" borderId="1" applyAlignment="1" pivotButton="0" quotePrefix="0" xfId="0">
      <alignment horizontal="general" vertical="bottom"/>
    </xf>
    <xf numFmtId="1" fontId="0" fillId="0" borderId="5" applyAlignment="1" pivotButton="0" quotePrefix="0" xfId="0">
      <alignment horizontal="general" vertical="bottom"/>
    </xf>
    <xf numFmtId="1" fontId="0" fillId="0" borderId="6" applyAlignment="1" pivotButton="0" quotePrefix="0" xfId="0">
      <alignment horizontal="general" vertical="bottom"/>
    </xf>
    <xf numFmtId="0" fontId="13" fillId="7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73" fontId="23" fillId="0" borderId="0" applyAlignment="1" pivotButton="0" quotePrefix="0" xfId="0">
      <alignment horizontal="general" vertical="bottom"/>
    </xf>
    <xf numFmtId="173" fontId="26" fillId="0" borderId="0" applyAlignment="1" pivotButton="0" quotePrefix="0" xfId="0">
      <alignment horizontal="general" vertical="bottom"/>
    </xf>
    <xf numFmtId="168" fontId="22" fillId="0" borderId="0" applyAlignment="1" pivotButton="0" quotePrefix="0" xfId="0">
      <alignment horizontal="general" vertical="bottom"/>
    </xf>
    <xf numFmtId="173" fontId="22" fillId="0" borderId="0" applyAlignment="1" pivotButton="0" quotePrefix="0" xfId="0">
      <alignment horizontal="general" vertical="bottom"/>
    </xf>
    <xf numFmtId="173" fontId="24" fillId="0" borderId="0" applyAlignment="1" pivotButton="0" quotePrefix="0" xfId="0">
      <alignment horizontal="general" vertical="bottom"/>
    </xf>
    <xf numFmtId="0" fontId="23" fillId="0" borderId="5" applyAlignment="1" pivotButton="0" quotePrefix="0" xfId="0">
      <alignment horizontal="general" vertical="bottom"/>
    </xf>
    <xf numFmtId="173" fontId="23" fillId="0" borderId="5" applyAlignment="1" pivotButton="0" quotePrefix="0" xfId="0">
      <alignment horizontal="general" vertical="bottom"/>
    </xf>
    <xf numFmtId="174" fontId="22" fillId="0" borderId="0" applyAlignment="1" pivotButton="0" quotePrefix="0" xfId="0">
      <alignment horizontal="general" vertical="bottom"/>
    </xf>
    <xf numFmtId="1" fontId="22" fillId="0" borderId="0" applyAlignment="1" pivotButton="0" quotePrefix="0" xfId="0">
      <alignment horizontal="general" vertical="bottom"/>
    </xf>
    <xf numFmtId="175" fontId="22" fillId="0" borderId="0" applyAlignment="1" pivotButton="0" quotePrefix="0" xfId="0">
      <alignment horizontal="general" vertical="bottom"/>
    </xf>
    <xf numFmtId="176" fontId="23" fillId="0" borderId="0" applyAlignment="1" pivotButton="0" quotePrefix="0" xfId="0">
      <alignment horizontal="general" vertical="bottom"/>
    </xf>
    <xf numFmtId="176" fontId="22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3" fillId="0" borderId="2" applyAlignment="1" pivotButton="0" quotePrefix="0" xfId="0">
      <alignment horizontal="general" vertical="bottom"/>
    </xf>
    <xf numFmtId="173" fontId="23" fillId="0" borderId="0" applyAlignment="1" pivotButton="0" quotePrefix="0" xfId="0">
      <alignment horizontal="general" vertical="bottom"/>
    </xf>
    <xf numFmtId="168" fontId="22" fillId="0" borderId="0" applyAlignment="1" pivotButton="0" quotePrefix="0" xfId="0">
      <alignment horizontal="general" vertical="bottom"/>
    </xf>
    <xf numFmtId="173" fontId="22" fillId="0" borderId="0" applyAlignment="1" pivotButton="0" quotePrefix="0" xfId="0">
      <alignment horizontal="general" vertical="bottom"/>
    </xf>
    <xf numFmtId="0" fontId="23" fillId="0" borderId="5" applyAlignment="1" pivotButton="0" quotePrefix="0" xfId="0">
      <alignment horizontal="general" vertical="bottom"/>
    </xf>
    <xf numFmtId="173" fontId="23" fillId="0" borderId="5" applyAlignment="1" pivotButton="0" quotePrefix="0" xfId="0">
      <alignment horizontal="general" vertical="bottom"/>
    </xf>
    <xf numFmtId="176" fontId="24" fillId="0" borderId="0" applyAlignment="1" pivotButton="0" quotePrefix="0" xfId="0">
      <alignment horizontal="general" vertical="bottom"/>
    </xf>
    <xf numFmtId="168" fontId="26" fillId="0" borderId="0" applyAlignment="1" pivotButton="0" quotePrefix="0" xfId="0">
      <alignment horizontal="general" vertical="bottom"/>
    </xf>
    <xf numFmtId="174" fontId="22" fillId="0" borderId="0" applyAlignment="1" pivotButton="0" quotePrefix="0" xfId="0">
      <alignment horizontal="general" vertical="bottom"/>
    </xf>
    <xf numFmtId="1" fontId="22" fillId="0" borderId="0" applyAlignment="1" pivotButton="0" quotePrefix="0" xfId="0">
      <alignment horizontal="general" vertical="bottom"/>
    </xf>
    <xf numFmtId="175" fontId="22" fillId="0" borderId="0" applyAlignment="1" pivotButton="0" quotePrefix="0" xfId="0">
      <alignment horizontal="general" vertical="bottom"/>
    </xf>
    <xf numFmtId="176" fontId="23" fillId="0" borderId="0" applyAlignment="1" pivotButton="0" quotePrefix="0" xfId="0">
      <alignment horizontal="general" vertical="bottom"/>
    </xf>
    <xf numFmtId="177" fontId="22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8" fillId="7" borderId="0" applyAlignment="1" pivotButton="0" quotePrefix="0" xfId="0">
      <alignment horizontal="general" vertical="bottom"/>
    </xf>
    <xf numFmtId="0" fontId="28" fillId="7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right" vertical="bottom"/>
    </xf>
    <xf numFmtId="2" fontId="12" fillId="0" borderId="0" applyAlignment="1" pivotButton="0" quotePrefix="0" xfId="0">
      <alignment horizontal="general" vertical="bottom"/>
    </xf>
    <xf numFmtId="178" fontId="12" fillId="8" borderId="0" applyAlignment="1" pivotButton="0" quotePrefix="0" xfId="0">
      <alignment horizontal="general" vertical="bottom"/>
    </xf>
    <xf numFmtId="4" fontId="12" fillId="0" borderId="0" applyAlignment="1" pivotButton="0" quotePrefix="0" xfId="0">
      <alignment horizontal="general" vertical="bottom"/>
    </xf>
    <xf numFmtId="178" fontId="11" fillId="0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  <xf numFmtId="0" fontId="11" fillId="9" borderId="0" applyAlignment="1" pivotButton="0" quotePrefix="0" xfId="0">
      <alignment horizontal="general" vertical="bottom"/>
    </xf>
    <xf numFmtId="0" fontId="11" fillId="9" borderId="0" applyAlignment="1" pivotButton="0" quotePrefix="0" xfId="0">
      <alignment horizontal="right" vertical="bottom"/>
    </xf>
    <xf numFmtId="2" fontId="12" fillId="9" borderId="0" applyAlignment="1" pivotButton="0" quotePrefix="0" xfId="0">
      <alignment horizontal="general" vertical="bottom"/>
    </xf>
    <xf numFmtId="178" fontId="12" fillId="9" borderId="0" applyAlignment="1" pivotButton="0" quotePrefix="0" xfId="0">
      <alignment horizontal="general" vertical="bottom"/>
    </xf>
    <xf numFmtId="4" fontId="12" fillId="9" borderId="0" applyAlignment="1" pivotButton="0" quotePrefix="0" xfId="0">
      <alignment horizontal="general" vertical="bottom"/>
    </xf>
    <xf numFmtId="178" fontId="11" fillId="9" borderId="0" applyAlignment="1" pivotButton="0" quotePrefix="0" xfId="0">
      <alignment horizontal="general" vertical="bottom"/>
    </xf>
    <xf numFmtId="2" fontId="11" fillId="9" borderId="0" applyAlignment="1" pivotButton="0" quotePrefix="0" xfId="0">
      <alignment horizontal="general" vertical="bottom"/>
    </xf>
    <xf numFmtId="2" fontId="13" fillId="0" borderId="5" applyAlignment="1" pivotButton="0" quotePrefix="0" xfId="0">
      <alignment horizontal="general" vertical="bottom"/>
    </xf>
    <xf numFmtId="178" fontId="13" fillId="0" borderId="5" applyAlignment="1" pivotButton="0" quotePrefix="0" xfId="0">
      <alignment horizontal="general" vertical="bottom"/>
    </xf>
    <xf numFmtId="2" fontId="13" fillId="0" borderId="0" applyAlignment="1" pivotButton="0" quotePrefix="0" xfId="0">
      <alignment horizontal="general" vertical="bottom"/>
    </xf>
    <xf numFmtId="178" fontId="13" fillId="0" borderId="0" applyAlignment="1" pivotButton="0" quotePrefix="0" xfId="0">
      <alignment horizontal="general" vertical="bottom"/>
    </xf>
    <xf numFmtId="178" fontId="24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2" fontId="13" fillId="0" borderId="7" applyAlignment="1" pivotButton="0" quotePrefix="0" xfId="0">
      <alignment horizontal="general" vertical="bottom"/>
    </xf>
    <xf numFmtId="179" fontId="12" fillId="8" borderId="0" applyAlignment="1" pivotButton="0" quotePrefix="0" xfId="0">
      <alignment horizontal="general" vertical="bottom"/>
    </xf>
    <xf numFmtId="179" fontId="13" fillId="0" borderId="5" applyAlignment="1" pivotButton="0" quotePrefix="0" xfId="0">
      <alignment horizontal="general" vertical="bottom"/>
    </xf>
    <xf numFmtId="179" fontId="15" fillId="0" borderId="0" applyAlignment="1" pivotButton="0" quotePrefix="0" xfId="0">
      <alignment horizontal="general" vertical="bottom"/>
    </xf>
    <xf numFmtId="170" fontId="12" fillId="0" borderId="0" applyAlignment="1" pivotButton="0" quotePrefix="0" xfId="0">
      <alignment horizontal="general" vertical="bottom"/>
    </xf>
    <xf numFmtId="180" fontId="12" fillId="0" borderId="0" applyAlignment="1" pivotButton="0" quotePrefix="0" xfId="0">
      <alignment horizontal="general" vertical="bottom"/>
    </xf>
    <xf numFmtId="179" fontId="13" fillId="0" borderId="0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70" fontId="13" fillId="0" borderId="5" applyAlignment="1" pivotButton="0" quotePrefix="0" xfId="0">
      <alignment horizontal="general" vertical="bottom"/>
    </xf>
    <xf numFmtId="179" fontId="13" fillId="10" borderId="7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70" fontId="26" fillId="0" borderId="5" applyAlignment="1" pivotButton="0" quotePrefix="0" xfId="0">
      <alignment horizontal="general" vertical="bottom"/>
    </xf>
    <xf numFmtId="170" fontId="23" fillId="0" borderId="0" applyAlignment="1" pivotButton="0" quotePrefix="0" xfId="0">
      <alignment horizontal="general" vertical="bottom"/>
    </xf>
    <xf numFmtId="170" fontId="2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0" fillId="0" borderId="4" applyAlignment="1" pivotButton="0" quotePrefix="0" xfId="0">
      <alignment horizontal="general" vertical="bottom"/>
    </xf>
    <xf numFmtId="164" fontId="0" fillId="0" borderId="5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9" fontId="0" fillId="0" borderId="1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166" fontId="12" fillId="0" borderId="3" applyAlignment="1" pivotButton="0" quotePrefix="0" xfId="0">
      <alignment horizontal="general" vertical="bottom"/>
    </xf>
    <xf numFmtId="0" fontId="13" fillId="0" borderId="5" applyAlignment="1" pivotButton="0" quotePrefix="0" xfId="0">
      <alignment horizontal="general" vertical="bottom"/>
    </xf>
    <xf numFmtId="166" fontId="13" fillId="0" borderId="5" applyAlignment="1" pivotButton="0" quotePrefix="0" xfId="0">
      <alignment horizontal="general" vertical="bottom"/>
    </xf>
    <xf numFmtId="166" fontId="13" fillId="0" borderId="6" applyAlignment="1" pivotButton="0" quotePrefix="0" xfId="0">
      <alignment horizontal="general" vertical="bottom"/>
    </xf>
    <xf numFmtId="9" fontId="14" fillId="0" borderId="0" applyAlignment="1" pivotButton="0" quotePrefix="0" xfId="0">
      <alignment horizontal="general" vertical="bottom"/>
    </xf>
    <xf numFmtId="9" fontId="14" fillId="0" borderId="1" applyAlignment="1" pivotButton="0" quotePrefix="0" xfId="0">
      <alignment horizontal="general" vertical="bottom"/>
    </xf>
    <xf numFmtId="0" fontId="13" fillId="6" borderId="0" applyAlignment="1" pivotButton="0" quotePrefix="0" xfId="0">
      <alignment horizontal="general" vertical="bottom"/>
    </xf>
    <xf numFmtId="9" fontId="14" fillId="6" borderId="0" applyAlignment="1" pivotButton="0" quotePrefix="0" xfId="0">
      <alignment horizontal="general" vertical="bottom"/>
    </xf>
    <xf numFmtId="9" fontId="14" fillId="6" borderId="1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15" fillId="0" borderId="5" applyAlignment="1" pivotButton="0" quotePrefix="0" xfId="0">
      <alignment horizontal="general" vertical="bottom"/>
    </xf>
    <xf numFmtId="0" fontId="17" fillId="0" borderId="5" applyAlignment="1" pivotButton="0" quotePrefix="0" xfId="0">
      <alignment horizontal="general" vertical="bottom"/>
    </xf>
    <xf numFmtId="9" fontId="17" fillId="0" borderId="5" applyAlignment="1" pivotButton="0" quotePrefix="0" xfId="0">
      <alignment horizontal="general" vertical="bottom"/>
    </xf>
    <xf numFmtId="9" fontId="17" fillId="0" borderId="6" applyAlignment="1" pivotButton="0" quotePrefix="0" xfId="0">
      <alignment horizontal="general" vertical="bottom"/>
    </xf>
    <xf numFmtId="9" fontId="17" fillId="0" borderId="4" applyAlignment="1" pivotButton="0" quotePrefix="0" xfId="0">
      <alignment horizontal="general" vertical="bottom"/>
    </xf>
    <xf numFmtId="0" fontId="18" fillId="5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9" fontId="0" fillId="0" borderId="5" applyAlignment="1" pivotButton="0" quotePrefix="0" xfId="0">
      <alignment horizontal="general" vertical="bottom"/>
    </xf>
    <xf numFmtId="9" fontId="0" fillId="0" borderId="6" applyAlignment="1" pivotButton="0" quotePrefix="0" xfId="0">
      <alignment horizontal="general" vertical="bottom"/>
    </xf>
    <xf numFmtId="9" fontId="0" fillId="0" borderId="4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8" fontId="0" fillId="0" borderId="1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9" fontId="5" fillId="0" borderId="0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2" applyAlignment="1" pivotButton="0" quotePrefix="0" xfId="0">
      <alignment horizontal="general" vertical="bottom"/>
    </xf>
    <xf numFmtId="0" fontId="23" fillId="0" borderId="2" applyAlignment="1" pivotButton="0" quotePrefix="0" xfId="0">
      <alignment horizontal="right" vertical="bottom"/>
    </xf>
    <xf numFmtId="170" fontId="24" fillId="0" borderId="0" applyAlignment="1" pivotButton="0" quotePrefix="0" xfId="0">
      <alignment horizontal="general" vertical="bottom"/>
    </xf>
    <xf numFmtId="170" fontId="22" fillId="0" borderId="0" applyAlignment="1" pivotButton="0" quotePrefix="0" xfId="0">
      <alignment horizontal="general" vertical="bottom"/>
    </xf>
    <xf numFmtId="171" fontId="22" fillId="0" borderId="0" applyAlignment="1" pivotButton="0" quotePrefix="0" xfId="0">
      <alignment horizontal="general" vertical="bottom"/>
    </xf>
    <xf numFmtId="9" fontId="22" fillId="0" borderId="0" applyAlignment="1" pivotButton="0" quotePrefix="0" xfId="0">
      <alignment horizontal="general" vertical="bottom"/>
    </xf>
    <xf numFmtId="170" fontId="22" fillId="0" borderId="5" applyAlignment="1" pivotButton="0" quotePrefix="0" xfId="0">
      <alignment horizontal="general" vertical="bottom"/>
    </xf>
    <xf numFmtId="170" fontId="24" fillId="0" borderId="5" applyAlignment="1" pivotButton="0" quotePrefix="0" xfId="0">
      <alignment horizontal="general" vertical="bottom"/>
    </xf>
    <xf numFmtId="166" fontId="24" fillId="0" borderId="0" applyAlignment="1" pivotButton="0" quotePrefix="0" xfId="0">
      <alignment horizontal="general" vertical="bottom"/>
    </xf>
    <xf numFmtId="166" fontId="22" fillId="0" borderId="0" applyAlignment="1" pivotButton="0" quotePrefix="0" xfId="0">
      <alignment horizontal="general" vertical="bottom"/>
    </xf>
    <xf numFmtId="172" fontId="22" fillId="0" borderId="0" applyAlignment="1" pivotButton="0" quotePrefix="0" xfId="0">
      <alignment horizontal="general" vertical="bottom"/>
    </xf>
    <xf numFmtId="172" fontId="24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 indent="1"/>
    </xf>
    <xf numFmtId="168" fontId="0" fillId="0" borderId="0" pivotButton="0" quotePrefix="0" xfId="0"/>
    <xf numFmtId="170" fontId="0" fillId="0" borderId="0" applyAlignment="1" pivotButton="0" quotePrefix="0" xfId="0">
      <alignment horizontal="general" vertical="bottom"/>
    </xf>
    <xf numFmtId="170" fontId="0" fillId="0" borderId="1" applyAlignment="1" pivotButton="0" quotePrefix="0" xfId="0">
      <alignment horizontal="general" vertical="bottom"/>
    </xf>
    <xf numFmtId="1" fontId="0" fillId="0" borderId="5" applyAlignment="1" pivotButton="0" quotePrefix="0" xfId="0">
      <alignment horizontal="general" vertical="bottom"/>
    </xf>
    <xf numFmtId="1" fontId="0" fillId="0" borderId="6" applyAlignment="1" pivotButton="0" quotePrefix="0" xfId="0">
      <alignment horizontal="general" vertical="bottom"/>
    </xf>
    <xf numFmtId="181" fontId="0" fillId="0" borderId="0" pivotButton="0" quotePrefix="0" xfId="0"/>
    <xf numFmtId="170" fontId="0" fillId="0" borderId="0" pivotButton="0" quotePrefix="0" xfId="0"/>
    <xf numFmtId="0" fontId="13" fillId="7" borderId="0" applyAlignment="1" pivotButton="0" quotePrefix="0" xfId="0">
      <alignment horizontal="general" vertical="bottom"/>
    </xf>
    <xf numFmtId="0" fontId="11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3" fillId="0" borderId="0" pivotButton="0" quotePrefix="0" xfId="0"/>
    <xf numFmtId="0" fontId="25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73" fontId="23" fillId="0" borderId="0" applyAlignment="1" pivotButton="0" quotePrefix="0" xfId="0">
      <alignment horizontal="general" vertical="bottom"/>
    </xf>
    <xf numFmtId="173" fontId="26" fillId="0" borderId="0" applyAlignment="1" pivotButton="0" quotePrefix="0" xfId="0">
      <alignment horizontal="general" vertical="bottom"/>
    </xf>
    <xf numFmtId="168" fontId="22" fillId="0" borderId="0" applyAlignment="1" pivotButton="0" quotePrefix="0" xfId="0">
      <alignment horizontal="general" vertical="bottom"/>
    </xf>
    <xf numFmtId="173" fontId="22" fillId="0" borderId="0" applyAlignment="1" pivotButton="0" quotePrefix="0" xfId="0">
      <alignment horizontal="general" vertical="bottom"/>
    </xf>
    <xf numFmtId="173" fontId="24" fillId="0" borderId="0" applyAlignment="1" pivotButton="0" quotePrefix="0" xfId="0">
      <alignment horizontal="general" vertical="bottom"/>
    </xf>
    <xf numFmtId="0" fontId="23" fillId="0" borderId="5" applyAlignment="1" pivotButton="0" quotePrefix="0" xfId="0">
      <alignment horizontal="general" vertical="bottom"/>
    </xf>
    <xf numFmtId="173" fontId="23" fillId="0" borderId="5" applyAlignment="1" pivotButton="0" quotePrefix="0" xfId="0">
      <alignment horizontal="general" vertical="bottom"/>
    </xf>
    <xf numFmtId="174" fontId="22" fillId="0" borderId="0" applyAlignment="1" pivotButton="0" quotePrefix="0" xfId="0">
      <alignment horizontal="general" vertical="bottom"/>
    </xf>
    <xf numFmtId="1" fontId="22" fillId="0" borderId="0" applyAlignment="1" pivotButton="0" quotePrefix="0" xfId="0">
      <alignment horizontal="general" vertical="bottom"/>
    </xf>
    <xf numFmtId="175" fontId="22" fillId="0" borderId="0" applyAlignment="1" pivotButton="0" quotePrefix="0" xfId="0">
      <alignment horizontal="general" vertical="bottom"/>
    </xf>
    <xf numFmtId="176" fontId="23" fillId="0" borderId="0" applyAlignment="1" pivotButton="0" quotePrefix="0" xfId="0">
      <alignment horizontal="general" vertical="bottom"/>
    </xf>
    <xf numFmtId="176" fontId="22" fillId="0" borderId="0" applyAlignment="1" pivotButton="0" quotePrefix="0" xfId="0">
      <alignment horizontal="general" vertical="bottom"/>
    </xf>
    <xf numFmtId="0" fontId="23" fillId="0" borderId="0" pivotButton="0" quotePrefix="0" xfId="0"/>
    <xf numFmtId="10" fontId="23" fillId="0" borderId="0" pivotButton="0" quotePrefix="0" xfId="0"/>
    <xf numFmtId="2" fontId="23" fillId="0" borderId="0" pivotButton="0" quotePrefix="0" xfId="0"/>
    <xf numFmtId="176" fontId="23" fillId="0" borderId="0" pivotButton="0" quotePrefix="0" xfId="0"/>
    <xf numFmtId="168" fontId="23" fillId="0" borderId="0" pivotButton="0" quotePrefix="0" xfId="0"/>
    <xf numFmtId="176" fontId="24" fillId="0" borderId="0" applyAlignment="1" pivotButton="0" quotePrefix="0" xfId="0">
      <alignment horizontal="general" vertical="bottom"/>
    </xf>
    <xf numFmtId="168" fontId="26" fillId="0" borderId="0" applyAlignment="1" pivotButton="0" quotePrefix="0" xfId="0">
      <alignment horizontal="general" vertical="bottom"/>
    </xf>
    <xf numFmtId="177" fontId="22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8" fillId="7" borderId="0" applyAlignment="1" pivotButton="0" quotePrefix="0" xfId="0">
      <alignment horizontal="general" vertical="bottom"/>
    </xf>
    <xf numFmtId="0" fontId="28" fillId="7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right" vertical="bottom"/>
    </xf>
    <xf numFmtId="2" fontId="12" fillId="0" borderId="0" applyAlignment="1" pivotButton="0" quotePrefix="0" xfId="0">
      <alignment horizontal="general" vertical="bottom"/>
    </xf>
    <xf numFmtId="178" fontId="12" fillId="8" borderId="0" applyAlignment="1" pivotButton="0" quotePrefix="0" xfId="0">
      <alignment horizontal="general" vertical="bottom"/>
    </xf>
    <xf numFmtId="4" fontId="12" fillId="0" borderId="0" applyAlignment="1" pivotButton="0" quotePrefix="0" xfId="0">
      <alignment horizontal="general" vertical="bottom"/>
    </xf>
    <xf numFmtId="178" fontId="11" fillId="0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  <xf numFmtId="0" fontId="11" fillId="9" borderId="0" applyAlignment="1" pivotButton="0" quotePrefix="0" xfId="0">
      <alignment horizontal="general" vertical="bottom"/>
    </xf>
    <xf numFmtId="0" fontId="11" fillId="9" borderId="0" applyAlignment="1" pivotButton="0" quotePrefix="0" xfId="0">
      <alignment horizontal="right" vertical="bottom"/>
    </xf>
    <xf numFmtId="2" fontId="12" fillId="9" borderId="0" applyAlignment="1" pivotButton="0" quotePrefix="0" xfId="0">
      <alignment horizontal="general" vertical="bottom"/>
    </xf>
    <xf numFmtId="178" fontId="12" fillId="9" borderId="0" applyAlignment="1" pivotButton="0" quotePrefix="0" xfId="0">
      <alignment horizontal="general" vertical="bottom"/>
    </xf>
    <xf numFmtId="4" fontId="12" fillId="9" borderId="0" applyAlignment="1" pivotButton="0" quotePrefix="0" xfId="0">
      <alignment horizontal="general" vertical="bottom"/>
    </xf>
    <xf numFmtId="178" fontId="11" fillId="9" borderId="0" applyAlignment="1" pivotButton="0" quotePrefix="0" xfId="0">
      <alignment horizontal="general" vertical="bottom"/>
    </xf>
    <xf numFmtId="2" fontId="11" fillId="9" borderId="0" applyAlignment="1" pivotButton="0" quotePrefix="0" xfId="0">
      <alignment horizontal="general" vertical="bottom"/>
    </xf>
    <xf numFmtId="2" fontId="13" fillId="0" borderId="5" applyAlignment="1" pivotButton="0" quotePrefix="0" xfId="0">
      <alignment horizontal="general" vertical="bottom"/>
    </xf>
    <xf numFmtId="178" fontId="13" fillId="0" borderId="5" applyAlignment="1" pivotButton="0" quotePrefix="0" xfId="0">
      <alignment horizontal="general" vertical="bottom"/>
    </xf>
    <xf numFmtId="2" fontId="13" fillId="0" borderId="0" applyAlignment="1" pivotButton="0" quotePrefix="0" xfId="0">
      <alignment horizontal="general" vertical="bottom"/>
    </xf>
    <xf numFmtId="178" fontId="13" fillId="0" borderId="0" applyAlignment="1" pivotButton="0" quotePrefix="0" xfId="0">
      <alignment horizontal="general" vertical="bottom"/>
    </xf>
    <xf numFmtId="178" fontId="24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2" fontId="13" fillId="0" borderId="7" applyAlignment="1" pivotButton="0" quotePrefix="0" xfId="0">
      <alignment horizontal="general" vertical="bottom"/>
    </xf>
    <xf numFmtId="179" fontId="12" fillId="8" borderId="0" applyAlignment="1" pivotButton="0" quotePrefix="0" xfId="0">
      <alignment horizontal="general" vertical="bottom"/>
    </xf>
    <xf numFmtId="179" fontId="13" fillId="0" borderId="5" applyAlignment="1" pivotButton="0" quotePrefix="0" xfId="0">
      <alignment horizontal="general" vertical="bottom"/>
    </xf>
    <xf numFmtId="179" fontId="15" fillId="0" borderId="0" applyAlignment="1" pivotButton="0" quotePrefix="0" xfId="0">
      <alignment horizontal="general" vertical="bottom"/>
    </xf>
    <xf numFmtId="170" fontId="12" fillId="0" borderId="0" applyAlignment="1" pivotButton="0" quotePrefix="0" xfId="0">
      <alignment horizontal="general" vertical="bottom"/>
    </xf>
    <xf numFmtId="180" fontId="12" fillId="0" borderId="0" applyAlignment="1" pivotButton="0" quotePrefix="0" xfId="0">
      <alignment horizontal="general" vertical="bottom"/>
    </xf>
    <xf numFmtId="179" fontId="13" fillId="0" borderId="0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70" fontId="13" fillId="0" borderId="5" applyAlignment="1" pivotButton="0" quotePrefix="0" xfId="0">
      <alignment horizontal="general" vertical="bottom"/>
    </xf>
    <xf numFmtId="179" fontId="13" fillId="10" borderId="7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70" fontId="26" fillId="0" borderId="5" applyAlignment="1" pivotButton="0" quotePrefix="0" xfId="0">
      <alignment horizontal="general" vertical="bottom"/>
    </xf>
    <xf numFmtId="170" fontId="23" fillId="0" borderId="0" applyAlignment="1" pivotButton="0" quotePrefix="0" xfId="0">
      <alignment horizontal="general" vertical="bottom"/>
    </xf>
    <xf numFmtId="170" fontId="2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EAEAE"/>
      <rgbColor rgb="FF993366"/>
      <rgbColor rgb="FFF2F2F2"/>
      <rgbColor rgb="FFE8E8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63E64"/>
      <rgbColor rgb="FF339966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Unknown Author</author>
  </authors>
  <commentList>
    <comment ref="D31" authorId="0" shapeId="0">
      <text>
        <t>Calendar-year capex. FY24A/FY25A: Visual Capitalist table of company filings (big four, ex-Oracle). FY26E: midpoint of guidance after Jul-26 earnings as compiled by Yield Theory (updated 30-Sep-26), a secondary source. Microsoft is on a different definition across sources (guidance ~$175B here versus ~$190B in an April compilation), so treat the total as +/-5%.</t>
      </text>
    </comment>
    <comment ref="F70" authorId="0" shapeId="0">
      <text>
        <t>Opening 2026 backlog. Was a formula that looped with E71 (circular). Hard coded at the value the loop was holding; check against 10-K backlog table.</t>
      </text>
    </comment>
    <comment ref="F166" authorId="0" shapeId="0">
      <text>
        <t>2026E $32.88B and 2027E $36.84B: average analyst estimate, stockanalysis.com (Oct-26). 2029E $41.24B: tickflow.io (7 analysts). 2028E and 2030E interpolated / extended by me, coverage is thin past 2027. Mix of analysts with and without Mobility after the Dana deal.</t>
      </text>
    </comment>
    <comment ref="G299" authorId="0" shapeId="0">
      <text>
        <t>Assumes the deal closes end of Q1-27, so one quarter of 2027 stays in.</t>
      </text>
    </comment>
    <comment ref="E360" authorId="0" shapeId="0">
      <text>
        <t>Derived, not disclosed. 2025 book to bill 1.1 and backlog +16% (Q4-25 release).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8" authorId="0" shapeId="0">
      <text>
        <t>FY29E (exit-value basis) uses the Revenue tab and the FY2029E margin on Key Drivers.</t>
      </text>
    </comment>
    <comment ref="A10" authorId="0" shapeId="0">
      <text>
        <t>Excludes amounts in restructuring. Prolec intangibles lift 2026.</t>
      </text>
    </comment>
    <comment ref="A11" authorId="0" shapeId="0">
      <text>
        <t>Before restructuring, separation costs and non-operating pension income.</t>
      </text>
    </comment>
    <comment ref="A16" authorId="0" shapeId="0">
      <text>
        <t>Receivables, inventories, contract assets less payables.</t>
      </text>
    </comment>
    <comment ref="A17" authorId="0" shapeId="0">
      <text>
        <t>Q1-Q2'26 are actual cash flows rebuilt on the same definition. Q1-Q2'26 are not discounted: they are already in the Jun-26 balance sheet.</t>
      </text>
    </comment>
    <comment ref="A24" authorId="0" shapeId="0">
      <text>
        <t>Thesis re-rating: 20x base, 30x bull, 16x bear. Applied to FY2029E EBITDA, the next twelve months as seen from Dec-28.</t>
      </text>
    </comment>
    <comment ref="A34" authorId="0" shapeId="0">
      <text>
        <t>Operating leases are not deducted: their cost is inside EBITDA.</t>
      </text>
    </comment>
    <comment ref="A36" authorId="0" shapeId="0">
      <text>
        <t>Non-operating pension income is excluded from EBITDA.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E8" authorId="0" shapeId="0">
      <text>
        <t>Siemens Energy AG: 5-year beta, total debt and market cap as of 29-Sep-26 (S&amp;P Global Market Intelligence via StockAnalysis). Tax rate is the statutory rate of the main listing country (assumption).</t>
      </text>
    </comment>
    <comment ref="E9" authorId="0" shapeId="0">
      <text>
        <t>Mitsubishi Heavy Industries: 5-year beta, total debt and market cap as of 15-Sep-26 (S&amp;P Global Market Intelligence via StockAnalysis). Tax rate is the statutory rate of the main listing country (assumption).</t>
      </text>
    </comment>
    <comment ref="E10" authorId="0" shapeId="0">
      <text>
        <t>GE Aerospace: 5-year beta, total debt and market cap as of 1-Oct-26 (S&amp;P Global Market Intelligence via StockAnalysis). Tax rate is the statutory rate of the main listing country (assumption).</t>
      </text>
    </comment>
    <comment ref="E11" authorId="0" shapeId="0">
      <text>
        <t>Eaton Corporation plc: 5-year beta, total debt and market cap as of 1-Oct-26 (S&amp;P Global Market Intelligence via StockAnalysis). Tax rate is the statutory rate of the main listing country (assumption).</t>
      </text>
    </comment>
    <comment ref="E12" authorId="0" shapeId="0">
      <text>
        <t>Schneider Electric SE: 5-year beta, total debt and market cap as of 30-Sep-26 (S&amp;P Global Market Intelligence via StockAnalysis). Tax rate is the statutory rate of the main listing country (assumption).</t>
      </text>
    </comment>
    <comment ref="E13" authorId="0" shapeId="0">
      <text>
        <t>ABB Ltd: 5-year beta, total debt and market cap as of 29-Sep-26 (S&amp;P Global Market Intelligence via StockAnalysis). Tax rate is the statutory rate of the main listing country (assumption).</t>
      </text>
    </comment>
    <comment ref="E14" authorId="0" shapeId="0">
      <text>
        <t>Hitachi, Ltd.: 5-year beta, total debt and market cap as of 1-Oct-26 (S&amp;P Global Market Intelligence via StockAnalysis). Tax rate is the statutory rate of the main listing country (assumption).</t>
      </text>
    </comment>
    <comment ref="E15" authorId="0" shapeId="0">
      <text>
        <t>Hubbell Incorporated: 5-year beta, total debt and market cap as of 2-Oct-26 (S&amp;P Global Market Intelligence via StockAnalysis). Tax rate is the statutory rate of the main listing country (assumption).</t>
      </text>
    </comment>
    <comment ref="E16" authorId="0" shapeId="0">
      <text>
        <t>Vertiv Holdings Co: 5-year beta, total debt and market cap as of 2-Oct-26 (S&amp;P Global Market Intelligence via StockAnalysis). Tax rate is the statutory rate of the main listing country (assumption).</t>
      </text>
    </comment>
    <comment ref="E17" authorId="0" shapeId="0">
      <text>
        <t>Emerson Electric Co.: 5-year beta, total debt and market cap as of 1-Oct-26 (S&amp;P Global Market Intelligence via StockAnalysis). Tax rate is the statutory rate of the main listing country (assumption).</t>
      </text>
    </comment>
    <comment ref="E18" authorId="0" shapeId="0">
      <text>
        <t>Quanta Services: 5-year beta, total debt and market cap as of 2-Oct-26 (S&amp;P Global Market Intelligence via StockAnalysis). Tax rate is the statutory rate of the main listing country (assumption).</t>
      </text>
    </comment>
    <comment ref="E23" authorId="0" shapeId="0">
      <text>
        <t>GEV 5-year monthly beta 0.97 (Yahoo Finance / StockAnalysis, 1-Oct-26). Reference only: GEV has about 2.5 years of trading history, so the model uses the peer beta.</t>
      </text>
    </comment>
    <comment ref="D27" authorId="0" shapeId="0">
      <text>
        <t>10-year Treasury yield, 1-2 Oct 2026: about 5.25%, after 5.33% on 30-Sep (highest since 2002). Trading Economics / CNBC.</t>
      </text>
    </comment>
    <comment ref="D28" authorId="0" shapeId="0">
      <text>
        <t>Damodaran implied US equity risk premium, July 2026 update: 4.45%.</t>
      </text>
    </comment>
    <comment ref="C35" authorId="0" shapeId="0">
      <text>
        <t>GE Vernova priced $2.6B of senior notes on 4-Feb-26: $600M 4.250% due 2031, $1B 4.875% due 2036, $1B 5.500% due 2056 (company release). Coupons were set when the 10-year was below 5%; debt is about 1% of capital, so the effect on WACC is small.</t>
      </text>
    </comment>
    <comment ref="D45" authorId="0" shapeId="0">
      <text>
        <t>Total debt $3.72B (S&amp;P Global Market Intelligence via StockAnalysis, 2-Oct-26): $2.79B borrowings plus about $0.9B leases. Leases are included to match the peers' debt definition; they are not deducted in the equity bridge because operating lease cost is already inside EBITDA.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370"/>
  <sheetViews>
    <sheetView showFormulas="0" showGridLines="0" showRowColHeaders="1" showZeros="1" rightToLeft="0" tabSelected="0" showOutlineSymbols="1" defaultGridColor="1" view="normal" topLeftCell="A1" colorId="64" zoomScale="87" zoomScaleNormal="87" zoomScalePageLayoutView="100" workbookViewId="0">
      <selection pane="topLeft" activeCell="J5" activeCellId="0" sqref="J5"/>
    </sheetView>
  </sheetViews>
  <sheetFormatPr baseColWidth="8" defaultColWidth="10.50390625" defaultRowHeight="15.75" zeroHeight="0" outlineLevelRow="0"/>
  <cols>
    <col width="38" customWidth="1" style="168" min="1" max="1"/>
    <col width="11" customWidth="1" style="168" min="2" max="2"/>
    <col width="11.33" customWidth="1" style="168" min="3" max="3"/>
    <col width="13.83" customWidth="1" style="168" min="4" max="4"/>
    <col width="13.33" customWidth="1" style="168" min="5" max="5"/>
    <col width="13.66" customWidth="1" style="168" min="6" max="6"/>
    <col width="11.66" customWidth="1" style="168" min="7" max="8"/>
    <col width="11.5" customWidth="1" style="168" min="9" max="9"/>
    <col width="12.5" customWidth="1" style="168" min="10" max="10"/>
  </cols>
  <sheetData>
    <row r="1" ht="18" customHeight="1" s="169">
      <c r="A1" s="170" t="inlineStr">
        <is>
          <t xml:space="preserve">Eaton Corporation (NYSE: ETN) </t>
        </is>
      </c>
    </row>
    <row r="2" ht="15.75" customHeight="1" s="169">
      <c r="A2" s="171" t="inlineStr">
        <is>
          <t>Case (1 = Base, 2 = Street, 3 = Bull)</t>
        </is>
      </c>
      <c r="B2" s="172" t="n">
        <v>1</v>
      </c>
      <c r="C2" s="171">
        <f>CHOOSE($B$2,"Base","Street","Bull")</f>
        <v/>
      </c>
    </row>
    <row r="3" ht="15.75" customHeight="1" s="169">
      <c r="A3" s="173" t="inlineStr">
        <is>
          <t>Power Management Company</t>
        </is>
      </c>
      <c r="F3" s="168" t="n">
        <v>1</v>
      </c>
      <c r="G3" s="168" t="n">
        <v>2</v>
      </c>
      <c r="H3" s="168" t="n">
        <v>3</v>
      </c>
      <c r="I3" s="168" t="n">
        <v>4</v>
      </c>
      <c r="J3" s="168" t="n">
        <v>5</v>
      </c>
    </row>
    <row r="4" ht="15.75" customHeight="1" s="169">
      <c r="B4" s="174" t="inlineStr">
        <is>
          <t>Historical</t>
        </is>
      </c>
      <c r="F4" s="174" t="inlineStr">
        <is>
          <t>Projected</t>
        </is>
      </c>
    </row>
    <row r="5" ht="15.75" customHeight="1" s="169">
      <c r="A5" s="175" t="inlineStr">
        <is>
          <t>Fiscal year</t>
        </is>
      </c>
      <c r="B5" s="176" t="n">
        <v>2022</v>
      </c>
      <c r="C5" s="176" t="n">
        <v>2023</v>
      </c>
      <c r="D5" s="176" t="n">
        <v>2024</v>
      </c>
      <c r="E5" s="176" t="n">
        <v>2025</v>
      </c>
      <c r="F5" s="176" t="n">
        <v>2026</v>
      </c>
      <c r="G5" s="176" t="n">
        <v>2027</v>
      </c>
      <c r="H5" s="176" t="n">
        <v>2028</v>
      </c>
      <c r="I5" s="176" t="n">
        <v>2029</v>
      </c>
      <c r="J5" s="176" t="n">
        <v>2030</v>
      </c>
      <c r="Q5" s="168" t="inlineStr">
        <is>
          <t>Electrical:</t>
        </is>
      </c>
    </row>
    <row r="6" ht="15.75" customHeight="1" s="169">
      <c r="E6" s="177" t="n"/>
      <c r="Q6" s="168" t="inlineStr">
        <is>
          <t>Transformer</t>
        </is>
      </c>
      <c r="S6" s="168" t="inlineStr">
        <is>
          <t>---&gt; 22 % of sales made to six  customer</t>
        </is>
      </c>
    </row>
    <row r="7" ht="15.75" customHeight="1" s="169">
      <c r="A7" s="168" t="inlineStr">
        <is>
          <t>Revenue Build out</t>
        </is>
      </c>
      <c r="E7" s="177" t="n"/>
      <c r="Q7" s="168" t="inlineStr">
        <is>
          <t xml:space="preserve">Power Supply </t>
        </is>
      </c>
    </row>
    <row r="8" ht="15.75" customHeight="1" s="169">
      <c r="A8" s="168" t="inlineStr">
        <is>
          <t xml:space="preserve">   Electrical America Product</t>
        </is>
      </c>
      <c r="B8" s="168" t="n">
        <v>2732</v>
      </c>
      <c r="C8" s="168" t="n">
        <v>2949</v>
      </c>
      <c r="D8" s="168" t="n">
        <v>3009</v>
      </c>
      <c r="E8" s="177" t="n">
        <v>3205</v>
      </c>
      <c r="F8" s="178">
        <f>F43*F55</f>
        <v/>
      </c>
      <c r="G8" s="178">
        <f>G43*G55</f>
        <v/>
      </c>
      <c r="H8" s="178">
        <f>H43*H55</f>
        <v/>
      </c>
      <c r="I8" s="178">
        <f>I43*I55</f>
        <v/>
      </c>
      <c r="J8" s="178">
        <f>J43*J55</f>
        <v/>
      </c>
    </row>
    <row r="9" ht="15.75" customHeight="1" s="169">
      <c r="A9" s="168" t="inlineStr">
        <is>
          <t xml:space="preserve">   Electrical America  Systems</t>
        </is>
      </c>
      <c r="B9" s="168" t="n">
        <v>5765</v>
      </c>
      <c r="C9" s="168" t="n">
        <v>7149</v>
      </c>
      <c r="D9" s="168" t="n">
        <v>8426</v>
      </c>
      <c r="E9" s="177" t="n">
        <v>10070</v>
      </c>
      <c r="F9" s="178">
        <f>F43*F48</f>
        <v/>
      </c>
      <c r="G9" s="178">
        <f>G43*G48</f>
        <v/>
      </c>
      <c r="H9" s="178">
        <f>H43*H48</f>
        <v/>
      </c>
      <c r="I9" s="178">
        <f>I43*I48</f>
        <v/>
      </c>
      <c r="J9" s="178">
        <f>J43*J48</f>
        <v/>
      </c>
    </row>
    <row r="10" ht="15.75" customHeight="1" s="169">
      <c r="A10" s="168" t="inlineStr">
        <is>
          <t xml:space="preserve">   Electrical Global Product </t>
        </is>
      </c>
      <c r="B10" s="168" t="n">
        <v>3424</v>
      </c>
      <c r="C10" s="168" t="n">
        <v>3462</v>
      </c>
      <c r="D10" s="168" t="n">
        <v>3493</v>
      </c>
      <c r="E10" s="177" t="n">
        <v>3885</v>
      </c>
      <c r="F10" s="178">
        <f>F72*F82</f>
        <v/>
      </c>
      <c r="G10" s="178">
        <f>G72*G82</f>
        <v/>
      </c>
      <c r="H10" s="178">
        <f>H72*H82</f>
        <v/>
      </c>
      <c r="I10" s="178">
        <f>I72*I82</f>
        <v/>
      </c>
      <c r="J10" s="178">
        <f>J72*J82</f>
        <v/>
      </c>
    </row>
    <row r="11" ht="15.75" customHeight="1" s="169">
      <c r="A11" s="168" t="inlineStr">
        <is>
          <t xml:space="preserve">   Electrical Global Systems </t>
        </is>
      </c>
      <c r="B11" s="168" t="n">
        <v>2755</v>
      </c>
      <c r="C11" s="168" t="n">
        <v>2622</v>
      </c>
      <c r="D11" s="168" t="n">
        <v>2755</v>
      </c>
      <c r="E11" s="177" t="n">
        <v>2930</v>
      </c>
      <c r="F11" s="178">
        <f>F72*F76+F295</f>
        <v/>
      </c>
      <c r="G11" s="178">
        <f>G72*G76+G295</f>
        <v/>
      </c>
      <c r="H11" s="178">
        <f>H72*H76+H295</f>
        <v/>
      </c>
      <c r="I11" s="178">
        <f>I72*I76+I295</f>
        <v/>
      </c>
      <c r="J11" s="178">
        <f>J72*J76+J295</f>
        <v/>
      </c>
      <c r="O11" s="168" t="inlineStr">
        <is>
          <t>ß</t>
        </is>
      </c>
    </row>
    <row r="12" ht="15.75" customHeight="1" s="169">
      <c r="A12" s="168" t="inlineStr">
        <is>
          <t xml:space="preserve">  Aerospace</t>
        </is>
      </c>
      <c r="B12" s="168" t="n">
        <v>3039</v>
      </c>
      <c r="C12" s="168" t="n">
        <v>3413</v>
      </c>
      <c r="D12" s="168" t="n">
        <v>3744</v>
      </c>
      <c r="E12" s="177">
        <f>4249</f>
        <v/>
      </c>
      <c r="F12" s="178">
        <f>F98+F101+F102+F296</f>
        <v/>
      </c>
      <c r="G12" s="178">
        <f>G98+G101+G102+G296</f>
        <v/>
      </c>
      <c r="H12" s="178">
        <f>H98+H101+H102+H296</f>
        <v/>
      </c>
      <c r="I12" s="178">
        <f>I98+I101+I102+I296</f>
        <v/>
      </c>
      <c r="J12" s="178">
        <f>J98+J101+J102+J296</f>
        <v/>
      </c>
      <c r="Q12" s="168" t="inlineStr">
        <is>
          <t>Main engine fuel pump</t>
        </is>
      </c>
      <c r="S12" s="168" t="inlineStr">
        <is>
          <t xml:space="preserve">---&gt;&gt; 20 % to three large </t>
        </is>
      </c>
    </row>
    <row r="13" ht="15.75" customHeight="1" s="169">
      <c r="A13" s="168" t="inlineStr">
        <is>
          <t xml:space="preserve">  Vehicle  </t>
        </is>
      </c>
      <c r="B13" s="168" t="n">
        <v>2839</v>
      </c>
      <c r="C13" s="168" t="n">
        <v>2965</v>
      </c>
      <c r="D13" s="168" t="n">
        <v>2790</v>
      </c>
      <c r="E13" s="177">
        <f>2504</f>
        <v/>
      </c>
      <c r="F13" s="178">
        <f>(F119+F122)*F299</f>
        <v/>
      </c>
      <c r="G13" s="178">
        <f>(G119+G122)*G299</f>
        <v/>
      </c>
      <c r="H13" s="178">
        <f>(H119+H122)*H299</f>
        <v/>
      </c>
      <c r="I13" s="178">
        <f>(I119+I122)*I299</f>
        <v/>
      </c>
      <c r="J13" s="178">
        <f>(J119+J122)*J299</f>
        <v/>
      </c>
      <c r="Q13" s="168" t="inlineStr">
        <is>
          <t xml:space="preserve">Hydraulic Power Pumps </t>
        </is>
      </c>
    </row>
    <row r="14" ht="15.75" customHeight="1" s="169">
      <c r="A14" s="179" t="inlineStr">
        <is>
          <t xml:space="preserve">  Emobility</t>
        </is>
      </c>
      <c r="B14" s="180" t="n">
        <v>538</v>
      </c>
      <c r="C14" s="180" t="n">
        <v>636</v>
      </c>
      <c r="D14" s="180" t="n">
        <v>662</v>
      </c>
      <c r="E14" s="181" t="n">
        <v>604</v>
      </c>
      <c r="F14" s="182">
        <f>F125*F299</f>
        <v/>
      </c>
      <c r="G14" s="182">
        <f>G125*G299</f>
        <v/>
      </c>
      <c r="H14" s="182">
        <f>H125*H299</f>
        <v/>
      </c>
      <c r="I14" s="182">
        <f>I125*I299</f>
        <v/>
      </c>
      <c r="J14" s="182">
        <f>J125*J299</f>
        <v/>
      </c>
    </row>
    <row r="15" ht="15.75" customHeight="1" s="169">
      <c r="A15" s="183" t="inlineStr">
        <is>
          <t>Total Revnues</t>
        </is>
      </c>
      <c r="B15" s="168">
        <f>SUM(B8:B14)</f>
        <v/>
      </c>
      <c r="C15" s="168">
        <f>SUM(C8:C14)</f>
        <v/>
      </c>
      <c r="D15" s="168">
        <f>SUM(D8:D14)</f>
        <v/>
      </c>
      <c r="E15" s="177">
        <f>SUM(E8:E14)</f>
        <v/>
      </c>
      <c r="F15" s="184">
        <f>SUM(F8:F14)</f>
        <v/>
      </c>
      <c r="G15" s="185">
        <f>SUM(G8:G14)</f>
        <v/>
      </c>
      <c r="H15" s="185">
        <f>SUM(H8:H14)</f>
        <v/>
      </c>
      <c r="I15" s="185">
        <f>SUM(I8:I14)</f>
        <v/>
      </c>
      <c r="J15" s="185">
        <f>SUM(J8:J14)</f>
        <v/>
      </c>
      <c r="Q15" s="168" t="inlineStr">
        <is>
          <t xml:space="preserve">Power distribution units for EV </t>
        </is>
      </c>
      <c r="T15" s="168" t="inlineStr">
        <is>
          <t>---&gt; made to 4 large ev</t>
        </is>
      </c>
    </row>
    <row r="16" ht="15.75" customHeight="1" s="169">
      <c r="A16" s="186" t="inlineStr">
        <is>
          <t xml:space="preserve">  growth YoY</t>
        </is>
      </c>
      <c r="C16" s="187">
        <f>(C15-B15)/B15</f>
        <v/>
      </c>
      <c r="D16" s="187">
        <f>(D15-C15)/C15</f>
        <v/>
      </c>
      <c r="E16" s="187">
        <f>(E15-D15)/D15</f>
        <v/>
      </c>
      <c r="F16" s="187">
        <f>(F15-E15)/E15</f>
        <v/>
      </c>
      <c r="G16" s="187">
        <f>(G15-F15)/F15</f>
        <v/>
      </c>
      <c r="H16" s="187">
        <f>(H15-G15)/G15</f>
        <v/>
      </c>
      <c r="I16" s="187">
        <f>(I15-H15)/H15</f>
        <v/>
      </c>
      <c r="J16" s="187">
        <f>(J15-I15)/I15</f>
        <v/>
      </c>
    </row>
    <row r="17" ht="15.75" customHeight="1" s="169">
      <c r="E17" s="177" t="n"/>
      <c r="Q17" s="168" t="inlineStr">
        <is>
          <t>180 Countries</t>
        </is>
      </c>
    </row>
    <row r="18" ht="15.75" customHeight="1" s="169">
      <c r="A18" s="168" t="inlineStr">
        <is>
          <t>Electrical</t>
        </is>
      </c>
      <c r="B18" s="168">
        <f>SUM(B8:B11)</f>
        <v/>
      </c>
      <c r="C18" s="168">
        <f>SUM(C8:C11)</f>
        <v/>
      </c>
      <c r="D18" s="168">
        <f>SUM(D8:D11)</f>
        <v/>
      </c>
      <c r="E18" s="177">
        <f>SUM(E8:E11)</f>
        <v/>
      </c>
      <c r="F18" s="188">
        <f>SUM(F8:F11)</f>
        <v/>
      </c>
      <c r="G18" s="188">
        <f>SUM(G8:G11)</f>
        <v/>
      </c>
      <c r="H18" s="188">
        <f>SUM(H8:H11)</f>
        <v/>
      </c>
      <c r="I18" s="188">
        <f>SUM(I8:I11)</f>
        <v/>
      </c>
      <c r="J18" s="188">
        <f>SUM(J8:J11)</f>
        <v/>
      </c>
    </row>
    <row r="19" ht="15.75" customHeight="1" s="169">
      <c r="A19" s="168" t="inlineStr">
        <is>
          <t>Aersospace</t>
        </is>
      </c>
      <c r="B19" s="168">
        <f>B12</f>
        <v/>
      </c>
      <c r="C19" s="168">
        <f>C12</f>
        <v/>
      </c>
      <c r="D19" s="168">
        <f>D12</f>
        <v/>
      </c>
      <c r="E19" s="177">
        <f>E12</f>
        <v/>
      </c>
      <c r="F19" s="188">
        <f>F12</f>
        <v/>
      </c>
      <c r="G19" s="188">
        <f>G12</f>
        <v/>
      </c>
      <c r="H19" s="188">
        <f>H12</f>
        <v/>
      </c>
      <c r="I19" s="188">
        <f>I12</f>
        <v/>
      </c>
      <c r="J19" s="188">
        <f>J12</f>
        <v/>
      </c>
      <c r="Q19" s="168" t="inlineStr">
        <is>
          <t>Datacentre play</t>
        </is>
      </c>
    </row>
    <row r="20" ht="15.75" customHeight="1" s="169">
      <c r="A20" s="168" t="inlineStr">
        <is>
          <t>Vehicle &amp; Emobility</t>
        </is>
      </c>
      <c r="B20" s="168">
        <f>B13+B14</f>
        <v/>
      </c>
      <c r="C20" s="168">
        <f>C13+C14</f>
        <v/>
      </c>
      <c r="D20" s="168">
        <f>D13+D14</f>
        <v/>
      </c>
      <c r="E20" s="177">
        <f>E13+E14</f>
        <v/>
      </c>
      <c r="F20" s="188">
        <f>F13+F14</f>
        <v/>
      </c>
      <c r="G20" s="188">
        <f>G13+G14</f>
        <v/>
      </c>
      <c r="H20" s="188">
        <f>H13+H14</f>
        <v/>
      </c>
      <c r="I20" s="188">
        <f>I13+I14</f>
        <v/>
      </c>
      <c r="J20" s="188">
        <f>J13+J14</f>
        <v/>
      </c>
    </row>
    <row r="21" ht="15.75" customHeight="1" s="169">
      <c r="E21" s="177" t="n"/>
    </row>
    <row r="22" ht="15.75" customHeight="1" s="169">
      <c r="A22" s="168" t="inlineStr">
        <is>
          <t>Electrical Growth YoY</t>
        </is>
      </c>
      <c r="C22" s="187">
        <f>(C18-B18)/B18</f>
        <v/>
      </c>
      <c r="D22" s="187">
        <f>(D18-C18)/C18</f>
        <v/>
      </c>
      <c r="E22" s="189">
        <f>(E18-D18)/D18</f>
        <v/>
      </c>
      <c r="F22" s="187">
        <f>(F18-E18)/E18</f>
        <v/>
      </c>
      <c r="G22" s="187">
        <f>(G18-F18)/F18</f>
        <v/>
      </c>
      <c r="H22" s="187">
        <f>(H18-G18)/G18</f>
        <v/>
      </c>
      <c r="I22" s="187">
        <f>(I18-H18)/H18</f>
        <v/>
      </c>
      <c r="J22" s="187">
        <f>(J18-I18)/I18</f>
        <v/>
      </c>
    </row>
    <row r="23" ht="15.75" customHeight="1" s="169">
      <c r="A23" s="168" t="inlineStr">
        <is>
          <t>Aerospace</t>
        </is>
      </c>
      <c r="C23" s="187">
        <f>(C12-B12)/B12</f>
        <v/>
      </c>
      <c r="D23" s="187">
        <f>(D12-C12)/C12</f>
        <v/>
      </c>
      <c r="E23" s="189">
        <f>(E12-D12)/D12</f>
        <v/>
      </c>
      <c r="F23" s="187">
        <f>(F12-E12)/E12</f>
        <v/>
      </c>
      <c r="G23" s="187">
        <f>(G12-F12)/F12</f>
        <v/>
      </c>
      <c r="H23" s="187">
        <f>(H12-G12)/G12</f>
        <v/>
      </c>
      <c r="I23" s="187">
        <f>(I12-H12)/H12</f>
        <v/>
      </c>
      <c r="J23" s="187">
        <f>(J12-I12)/I12</f>
        <v/>
      </c>
    </row>
    <row r="24" ht="15.75" customHeight="1" s="169">
      <c r="A24" s="168" t="inlineStr">
        <is>
          <t xml:space="preserve">Vehicle &amp; Emobility Growth </t>
        </is>
      </c>
      <c r="C24" s="187">
        <f>(C20-B20)/B20</f>
        <v/>
      </c>
      <c r="D24" s="187">
        <f>(D20-C20)/C20</f>
        <v/>
      </c>
      <c r="E24" s="189">
        <f>(E20-D20)/D20</f>
        <v/>
      </c>
      <c r="F24" s="187">
        <f>(F20-E20)/E20</f>
        <v/>
      </c>
      <c r="G24" s="187">
        <f>(G20-F20)/F20</f>
        <v/>
      </c>
      <c r="H24" s="187">
        <f>(H20-G20)/G20</f>
        <v/>
      </c>
      <c r="I24" s="187">
        <f>(I20-H20)/H20</f>
        <v/>
      </c>
      <c r="J24" s="187">
        <f>(J20-I20)/I20</f>
        <v/>
      </c>
      <c r="Q24" s="168" t="inlineStr">
        <is>
          <t>Raw materials</t>
        </is>
      </c>
    </row>
    <row r="25" ht="15.75" customHeight="1" s="169">
      <c r="A25" s="168" t="inlineStr">
        <is>
          <t>Equipment as a % of Revenue</t>
        </is>
      </c>
      <c r="B25" s="187">
        <f>(B12+B14+B10+B8)/B15</f>
        <v/>
      </c>
      <c r="C25" s="187">
        <f>(C12+C14+C10+C8)/C15</f>
        <v/>
      </c>
      <c r="D25" s="187">
        <f>(D12+D14+D10+D8)/D15</f>
        <v/>
      </c>
      <c r="E25" s="189">
        <f>(E12+E14+E10+E8)/E15</f>
        <v/>
      </c>
      <c r="F25" s="187">
        <f>(F12+F14+F10+F8)/F15</f>
        <v/>
      </c>
      <c r="G25" s="187">
        <f>(G12+G14+G10+G8)/G15</f>
        <v/>
      </c>
      <c r="H25" s="187">
        <f>(H12+H14+H10+H8)/H15</f>
        <v/>
      </c>
      <c r="I25" s="187">
        <f>(I12+I14+I10+I8)/I15</f>
        <v/>
      </c>
      <c r="J25" s="187">
        <f>(J12+J14+J10+J8)/J15</f>
        <v/>
      </c>
      <c r="Q25" s="168" t="inlineStr">
        <is>
          <t>Intellectual property</t>
        </is>
      </c>
    </row>
    <row r="26" ht="15.75" customHeight="1" s="169">
      <c r="A26" s="168" t="inlineStr">
        <is>
          <t xml:space="preserve">Data-Centre exposed equipment as a % of Revenue </t>
        </is>
      </c>
      <c r="B26" s="187">
        <f>(B9+B11)/B15</f>
        <v/>
      </c>
      <c r="C26" s="187">
        <f>(C9+C11)/C15</f>
        <v/>
      </c>
      <c r="D26" s="187">
        <f>(D9+D11)/D15</f>
        <v/>
      </c>
      <c r="E26" s="189">
        <f>(E9+E11)/E15</f>
        <v/>
      </c>
      <c r="F26" s="187">
        <f>(F9+F11)/F15</f>
        <v/>
      </c>
      <c r="G26" s="187">
        <f>(G9+G11)/G15</f>
        <v/>
      </c>
      <c r="H26" s="187">
        <f>(H9+H11)/H15</f>
        <v/>
      </c>
      <c r="I26" s="187">
        <f>(I9+I11)/I15</f>
        <v/>
      </c>
      <c r="J26" s="187">
        <f>(J9+J11)/J15</f>
        <v/>
      </c>
    </row>
    <row r="27" ht="15.75" customHeight="1" s="169">
      <c r="A27" s="168" t="inlineStr">
        <is>
          <t>Total Data Centre Exposed Equipment</t>
        </is>
      </c>
      <c r="B27" s="168">
        <f>B9+B11</f>
        <v/>
      </c>
      <c r="C27" s="168">
        <f>C9+C11</f>
        <v/>
      </c>
      <c r="D27" s="168">
        <f>D9+D11</f>
        <v/>
      </c>
      <c r="E27" s="177">
        <f>E9+E11</f>
        <v/>
      </c>
      <c r="F27" s="188">
        <f>F9+F11</f>
        <v/>
      </c>
      <c r="G27" s="188">
        <f>G9+G11</f>
        <v/>
      </c>
      <c r="H27" s="188">
        <f>H9+H11</f>
        <v/>
      </c>
      <c r="I27" s="188">
        <f>I9+I11</f>
        <v/>
      </c>
      <c r="J27" s="188">
        <f>J9+J11</f>
        <v/>
      </c>
    </row>
    <row r="28" ht="15.75" customHeight="1" s="169">
      <c r="A28" s="168" t="inlineStr">
        <is>
          <t>Growth</t>
        </is>
      </c>
      <c r="C28" s="187">
        <f>(C27-B27)/B27</f>
        <v/>
      </c>
      <c r="D28" s="187">
        <f>(D27-C27)/C27</f>
        <v/>
      </c>
      <c r="E28" s="189">
        <f>(E27-D27)/D27</f>
        <v/>
      </c>
      <c r="F28" s="187">
        <f>(F27-E27)/E27</f>
        <v/>
      </c>
      <c r="G28" s="187">
        <f>(G27-F27)/F27</f>
        <v/>
      </c>
      <c r="H28" s="187">
        <f>(H27-G27)/G27</f>
        <v/>
      </c>
      <c r="I28" s="187">
        <f>(I27-H27)/H27</f>
        <v/>
      </c>
      <c r="J28" s="187">
        <f>(J27-I27)/I27</f>
        <v/>
      </c>
      <c r="Q28" s="168" t="inlineStr">
        <is>
          <t>Reslliance acquisition</t>
        </is>
      </c>
    </row>
    <row r="29" ht="15.75" customHeight="1" s="169">
      <c r="E29" s="177" t="n"/>
    </row>
    <row r="30" ht="15.75" customHeight="1" s="169">
      <c r="A30" s="190" t="inlineStr">
        <is>
          <t xml:space="preserve">1. Data Centre Demand (B) </t>
        </is>
      </c>
      <c r="B30" s="191" t="n"/>
      <c r="C30" s="191" t="n"/>
      <c r="D30" s="191" t="n"/>
      <c r="E30" s="192" t="n"/>
      <c r="F30" s="191" t="n"/>
      <c r="G30" s="191" t="n"/>
      <c r="H30" s="191" t="n"/>
      <c r="I30" s="191" t="n"/>
      <c r="J30" s="193" t="n"/>
    </row>
    <row r="31" ht="15.75" customHeight="1" s="169">
      <c r="A31" s="194" t="inlineStr">
        <is>
          <t>Microsoft</t>
        </is>
      </c>
      <c r="B31" s="168" t="n">
        <v>23.9</v>
      </c>
      <c r="C31" s="168" t="n">
        <v>28.1</v>
      </c>
      <c r="D31" s="195" t="n">
        <v>74.5</v>
      </c>
      <c r="E31" s="196" t="n">
        <v>108.3</v>
      </c>
      <c r="F31" s="195" t="n">
        <v>175</v>
      </c>
      <c r="G31" s="168">
        <f>$F$31+($J$31-$F$31)*(G$3/4)</f>
        <v/>
      </c>
      <c r="H31" s="168">
        <f>$F$31+($J$31-$F$31)*(H$3/4)</f>
        <v/>
      </c>
      <c r="I31" s="168" t="n">
        <v>315</v>
      </c>
      <c r="J31" s="168" t="n">
        <v>338</v>
      </c>
    </row>
    <row r="32" ht="15.75" customHeight="1" s="169">
      <c r="A32" s="194" t="inlineStr">
        <is>
          <t>Amazon</t>
        </is>
      </c>
      <c r="B32" s="168" t="n">
        <v>63</v>
      </c>
      <c r="C32" s="168" t="n">
        <v>52.7</v>
      </c>
      <c r="D32" s="195" t="n">
        <v>83.90000000000001</v>
      </c>
      <c r="E32" s="196" t="n">
        <v>134.8</v>
      </c>
      <c r="F32" s="195" t="n">
        <v>220</v>
      </c>
      <c r="G32" s="195" t="n">
        <v>370</v>
      </c>
      <c r="H32" s="195" t="n">
        <v>400</v>
      </c>
      <c r="I32" s="195" t="n">
        <v>415</v>
      </c>
      <c r="J32" s="168" t="n">
        <v>435</v>
      </c>
    </row>
    <row r="33" ht="15.75" customHeight="1" s="169">
      <c r="A33" s="194" t="inlineStr">
        <is>
          <t>Alphabet</t>
        </is>
      </c>
      <c r="B33" s="168" t="n">
        <v>31</v>
      </c>
      <c r="C33" s="168" t="n">
        <v>32.3</v>
      </c>
      <c r="D33" s="195" t="n">
        <v>52.9</v>
      </c>
      <c r="E33" s="196" t="n">
        <v>93</v>
      </c>
      <c r="F33" s="195" t="n">
        <v>200</v>
      </c>
      <c r="G33" s="195" t="n">
        <v>245</v>
      </c>
      <c r="H33" s="195" t="n">
        <v>280</v>
      </c>
      <c r="I33" s="195" t="n">
        <v>320</v>
      </c>
      <c r="J33" s="168" t="n">
        <v>340</v>
      </c>
    </row>
    <row r="34" ht="15.75" customHeight="1" s="169">
      <c r="A34" s="194" t="inlineStr">
        <is>
          <t>Meta</t>
        </is>
      </c>
      <c r="B34" s="168" t="n">
        <v>31.2</v>
      </c>
      <c r="C34" s="168" t="n">
        <v>27</v>
      </c>
      <c r="D34" s="195" t="n">
        <v>38.4</v>
      </c>
      <c r="E34" s="197" t="n">
        <v>72.59999999999999</v>
      </c>
      <c r="F34" s="195" t="n">
        <v>137.5</v>
      </c>
      <c r="G34" s="195" t="n">
        <v>186</v>
      </c>
      <c r="H34" s="195" t="n">
        <v>330</v>
      </c>
      <c r="I34" s="195" t="n">
        <v>370</v>
      </c>
      <c r="J34" s="168" t="n">
        <v>405</v>
      </c>
      <c r="L34" s="168">
        <f>SUM(J31:J34)</f>
        <v/>
      </c>
    </row>
    <row r="35" ht="15.75" customHeight="1" s="169">
      <c r="A35" s="198" t="inlineStr">
        <is>
          <t>Hyperscaler capex, big four</t>
        </is>
      </c>
      <c r="B35" s="199">
        <f>SUM(B31:B34)*1000</f>
        <v/>
      </c>
      <c r="C35" s="199">
        <f>SUM(C31:C34)*1000</f>
        <v/>
      </c>
      <c r="D35" s="199">
        <f>SUM(D31:D34)*1000</f>
        <v/>
      </c>
      <c r="E35" s="200">
        <f>SUM(E31:E34)*1000</f>
        <v/>
      </c>
      <c r="F35" s="199">
        <f>SUM(F31:F34)*1000</f>
        <v/>
      </c>
      <c r="G35" s="199">
        <f>(F35*G36)+F35</f>
        <v/>
      </c>
      <c r="H35" s="199">
        <f>(G35*H36)+G35</f>
        <v/>
      </c>
      <c r="I35" s="199">
        <f>(H35*I36)+H35</f>
        <v/>
      </c>
      <c r="J35" s="199">
        <f>(I35*J36)+I35</f>
        <v/>
      </c>
    </row>
    <row r="36" ht="15.75" customHeight="1" s="169">
      <c r="A36" s="194" t="inlineStr">
        <is>
          <t>Capex Growth YoY</t>
        </is>
      </c>
      <c r="B36" s="201" t="n"/>
      <c r="C36" s="201">
        <f>(C35-B35)/B35</f>
        <v/>
      </c>
      <c r="D36" s="201">
        <f>(D35-C35)/C35</f>
        <v/>
      </c>
      <c r="E36" s="202">
        <f>(E35-D35)/D35</f>
        <v/>
      </c>
      <c r="F36" s="201">
        <f>(F35-E35)/E35</f>
        <v/>
      </c>
      <c r="G36" s="201">
        <f>G177</f>
        <v/>
      </c>
      <c r="H36" s="187">
        <f>H177</f>
        <v/>
      </c>
      <c r="I36" s="187">
        <f>I177</f>
        <v/>
      </c>
      <c r="J36" s="187">
        <f>J177</f>
        <v/>
      </c>
    </row>
    <row r="37" ht="15.75" customHeight="1" s="169">
      <c r="A37" s="194" t="n"/>
      <c r="B37" s="201" t="n"/>
      <c r="C37" s="201" t="n"/>
      <c r="D37" s="201" t="n"/>
      <c r="E37" s="202" t="n"/>
      <c r="F37" s="201" t="n"/>
      <c r="G37" s="201" t="n"/>
      <c r="H37" s="187" t="n"/>
      <c r="I37" s="187" t="n"/>
      <c r="J37" s="187" t="n"/>
    </row>
    <row r="38" ht="15.75" customHeight="1" s="169">
      <c r="A38" s="194" t="n"/>
      <c r="B38" s="201" t="n"/>
      <c r="C38" s="201" t="n"/>
      <c r="D38" s="201" t="n"/>
      <c r="E38" s="202" t="n"/>
      <c r="F38" s="201" t="n"/>
    </row>
    <row r="39" ht="15.75" customHeight="1" s="169">
      <c r="A39" s="203" t="inlineStr">
        <is>
          <t>2. Electrical Americas</t>
        </is>
      </c>
      <c r="B39" s="204" t="n"/>
      <c r="C39" s="204" t="n"/>
      <c r="D39" s="204" t="n"/>
      <c r="E39" s="205" t="n"/>
      <c r="F39" s="204" t="n"/>
      <c r="G39" s="206" t="n"/>
      <c r="H39" s="206" t="n"/>
      <c r="I39" s="206" t="n"/>
      <c r="J39" s="193" t="n"/>
    </row>
    <row r="40" ht="15.75" customHeight="1" s="169">
      <c r="A40" s="207" t="inlineStr">
        <is>
          <t>America</t>
        </is>
      </c>
      <c r="E40" s="177" t="n"/>
    </row>
    <row r="41" ht="15.75" customHeight="1" s="169">
      <c r="A41" s="194" t="inlineStr">
        <is>
          <t>Back-Log Americas</t>
        </is>
      </c>
      <c r="B41" s="168" t="inlineStr">
        <is>
          <t>X</t>
        </is>
      </c>
      <c r="C41" s="168" t="n">
        <v>6740</v>
      </c>
      <c r="D41" s="168" t="n">
        <v>7953</v>
      </c>
      <c r="E41" s="177" t="n">
        <v>10141</v>
      </c>
      <c r="F41" s="188" t="n">
        <v>13246</v>
      </c>
      <c r="G41" s="188">
        <f>F41+F42-F43</f>
        <v/>
      </c>
      <c r="H41" s="188">
        <f>G41+G42-G43</f>
        <v/>
      </c>
      <c r="I41" s="188">
        <f>H41+H42-H43</f>
        <v/>
      </c>
      <c r="J41" s="188">
        <f>I41+I42-I43</f>
        <v/>
      </c>
    </row>
    <row r="42" ht="15.75" customHeight="1" s="169">
      <c r="A42" s="194" t="inlineStr">
        <is>
          <t>New Orders</t>
        </is>
      </c>
      <c r="C42" s="168">
        <f>D41+C43-C41</f>
        <v/>
      </c>
      <c r="D42" s="168">
        <f>E41+D43-D41</f>
        <v/>
      </c>
      <c r="E42" s="208">
        <f>F41+E43-E41</f>
        <v/>
      </c>
      <c r="F42" s="178">
        <f>F56+F49</f>
        <v/>
      </c>
      <c r="G42" s="178">
        <f>G56+G49</f>
        <v/>
      </c>
      <c r="H42" s="178">
        <f>H56+H49</f>
        <v/>
      </c>
      <c r="I42" s="178">
        <f>I56+I49</f>
        <v/>
      </c>
      <c r="J42" s="178">
        <f>J56+J49</f>
        <v/>
      </c>
    </row>
    <row r="43" ht="15.75" customHeight="1" s="169">
      <c r="A43" s="209" t="inlineStr">
        <is>
          <t>Revenue</t>
        </is>
      </c>
      <c r="B43" s="210" t="n"/>
      <c r="C43" s="210">
        <f>SUM(C8:C9)</f>
        <v/>
      </c>
      <c r="D43" s="210">
        <f>SUM(D8:D9)</f>
        <v/>
      </c>
      <c r="E43" s="211">
        <f>SUM(E8:E9)</f>
        <v/>
      </c>
      <c r="F43" s="212">
        <f>(F41+F42)*F44</f>
        <v/>
      </c>
      <c r="G43" s="212">
        <f>(G41+G42)*G44</f>
        <v/>
      </c>
      <c r="H43" s="212">
        <f>(H41+H42)*H44</f>
        <v/>
      </c>
      <c r="I43" s="212">
        <f>(I41+I42)*I44</f>
        <v/>
      </c>
      <c r="J43" s="212">
        <f>(J41+J42)*J44</f>
        <v/>
      </c>
    </row>
    <row r="44" ht="15.75" customHeight="1" s="169">
      <c r="A44" s="194" t="inlineStr">
        <is>
          <t>Revenue Recognition %</t>
        </is>
      </c>
      <c r="C44" s="187">
        <f>C43/(C42+C41)</f>
        <v/>
      </c>
      <c r="D44" s="187">
        <f>D43/(D42+D41)</f>
        <v/>
      </c>
      <c r="E44" s="189">
        <f>E43/(E42+E41)</f>
        <v/>
      </c>
      <c r="F44" s="187">
        <f>F184</f>
        <v/>
      </c>
      <c r="G44" s="187">
        <f>G184</f>
        <v/>
      </c>
      <c r="H44" s="187">
        <f>H184</f>
        <v/>
      </c>
      <c r="I44" s="187">
        <f>I184</f>
        <v/>
      </c>
      <c r="J44" s="187">
        <f>J184</f>
        <v/>
      </c>
    </row>
    <row r="45" ht="15.75" customHeight="1" s="169">
      <c r="A45" s="194" t="n"/>
      <c r="E45" s="177" t="n"/>
      <c r="F45" s="187" t="n"/>
      <c r="G45" s="187" t="n"/>
      <c r="H45" s="187" t="n"/>
      <c r="I45" s="187" t="n"/>
      <c r="J45" s="187" t="n"/>
    </row>
    <row r="46" ht="15.75" customHeight="1" s="169">
      <c r="A46" s="207" t="inlineStr">
        <is>
          <t>Systems Assumption on basis of Capex</t>
        </is>
      </c>
      <c r="E46" s="177" t="n"/>
      <c r="F46" s="187" t="n"/>
      <c r="G46" s="187" t="n"/>
      <c r="H46" s="187" t="n"/>
      <c r="I46" s="187" t="n"/>
      <c r="J46" s="187" t="n"/>
    </row>
    <row r="47" ht="15.75" customHeight="1" s="169">
      <c r="A47" s="194" t="n"/>
      <c r="E47" s="177" t="n"/>
      <c r="F47" s="187" t="n"/>
      <c r="G47" s="187" t="n"/>
      <c r="H47" s="187" t="n"/>
      <c r="I47" s="187" t="n"/>
      <c r="J47" s="187" t="n"/>
    </row>
    <row r="48" ht="15.75" customHeight="1" s="169">
      <c r="A48" s="194" t="inlineStr">
        <is>
          <t>System  % of America Electrical</t>
        </is>
      </c>
      <c r="C48" s="187">
        <f>C9/(C8+C9)</f>
        <v/>
      </c>
      <c r="D48" s="187">
        <f>D9/(D8+D9)</f>
        <v/>
      </c>
      <c r="E48" s="189">
        <f>E9/(E8+E9)</f>
        <v/>
      </c>
      <c r="F48" s="187">
        <f>F49/(F49+F56)</f>
        <v/>
      </c>
      <c r="G48" s="187">
        <f>G49/(G49+G56)</f>
        <v/>
      </c>
      <c r="H48" s="187">
        <f>H49/(H49+H56)</f>
        <v/>
      </c>
      <c r="I48" s="187">
        <f>I49/(I49+I56)</f>
        <v/>
      </c>
      <c r="J48" s="187">
        <f>J49/(J49+J56)</f>
        <v/>
      </c>
    </row>
    <row r="49" ht="15.75" customHeight="1" s="169">
      <c r="A49" s="194" t="inlineStr">
        <is>
          <t>New Orders of Electrical Systems</t>
        </is>
      </c>
      <c r="C49" s="188">
        <f>C42*C48</f>
        <v/>
      </c>
      <c r="D49" s="188">
        <f>D42*D48</f>
        <v/>
      </c>
      <c r="E49" s="208">
        <f>E42*E48</f>
        <v/>
      </c>
      <c r="F49" s="178">
        <f>E49*(1+F50)</f>
        <v/>
      </c>
      <c r="G49" s="178">
        <f>F49*(1+G50)</f>
        <v/>
      </c>
      <c r="H49" s="178">
        <f>G49*(1+H50)</f>
        <v/>
      </c>
      <c r="I49" s="178">
        <f>H49*(1+I50)</f>
        <v/>
      </c>
      <c r="J49" s="178">
        <f>I49*(1+J50)</f>
        <v/>
      </c>
    </row>
    <row r="50" ht="15.75" customHeight="1" s="169">
      <c r="A50" s="194" t="inlineStr">
        <is>
          <t>Growth of new orders</t>
        </is>
      </c>
      <c r="D50" s="187">
        <f>(D49-C49)/C49</f>
        <v/>
      </c>
      <c r="E50" s="189">
        <f>(E49-D49)/D49</f>
        <v/>
      </c>
      <c r="F50" s="187">
        <f>F51*F335</f>
        <v/>
      </c>
      <c r="G50" s="187">
        <f>G51*G335</f>
        <v/>
      </c>
      <c r="H50" s="187">
        <f>H51*H335</f>
        <v/>
      </c>
      <c r="I50" s="187">
        <f>I51*I335</f>
        <v/>
      </c>
      <c r="J50" s="187">
        <f>J51*J335</f>
        <v/>
      </c>
    </row>
    <row r="51" ht="15.75" customHeight="1" s="169">
      <c r="A51" s="194" t="inlineStr">
        <is>
          <t>Dependent on US electrical infra capex growth</t>
        </is>
      </c>
      <c r="D51" s="187">
        <f>D50/D335</f>
        <v/>
      </c>
      <c r="E51" s="189">
        <f>E50/E335</f>
        <v/>
      </c>
      <c r="F51" s="187">
        <f>AVERAGE(D51:E51)</f>
        <v/>
      </c>
      <c r="G51" s="187">
        <f>AVERAGE(E51:F51)</f>
        <v/>
      </c>
      <c r="H51" s="187">
        <f>AVERAGE(F51:G51)</f>
        <v/>
      </c>
      <c r="I51" s="187">
        <f>AVERAGE(G51:H51)</f>
        <v/>
      </c>
      <c r="J51" s="187">
        <f>AVERAGE(H51:I51)</f>
        <v/>
      </c>
      <c r="L51" s="168" t="inlineStr">
        <is>
          <t>Was big four capex only. Now the section 7 index</t>
        </is>
      </c>
    </row>
    <row r="52" ht="15.75" customHeight="1" s="169">
      <c r="A52" s="194" t="n"/>
      <c r="E52" s="177" t="n"/>
    </row>
    <row r="53" ht="15.75" customHeight="1" s="169">
      <c r="A53" s="207" t="inlineStr">
        <is>
          <t>Product Assumptions</t>
        </is>
      </c>
      <c r="E53" s="177" t="n"/>
    </row>
    <row r="54" ht="15.75" customHeight="1" s="169">
      <c r="A54" s="194" t="n"/>
      <c r="E54" s="177" t="n"/>
    </row>
    <row r="55" ht="15.75" customHeight="1" s="169">
      <c r="A55" s="194" t="inlineStr">
        <is>
          <t>Product % of America Electrical</t>
        </is>
      </c>
      <c r="C55" s="187">
        <f>C8/(SUM(C8:C9))</f>
        <v/>
      </c>
      <c r="D55" s="187">
        <f>D8/(SUM(D8:D9))</f>
        <v/>
      </c>
      <c r="E55" s="189">
        <f>E8/(SUM(E8:E9))</f>
        <v/>
      </c>
      <c r="F55" s="187">
        <f>F56/(F56+F49)</f>
        <v/>
      </c>
      <c r="G55" s="187">
        <f>G56/(G56+G49)</f>
        <v/>
      </c>
      <c r="H55" s="187">
        <f>H56/(H56+H49)</f>
        <v/>
      </c>
      <c r="I55" s="187">
        <f>I56/(I56+I49)</f>
        <v/>
      </c>
      <c r="J55" s="187">
        <f>J56/(J56+J49)</f>
        <v/>
      </c>
    </row>
    <row r="56" ht="15.75" customHeight="1" s="169">
      <c r="A56" s="194" t="inlineStr">
        <is>
          <t xml:space="preserve">New Orders of Electrical Product </t>
        </is>
      </c>
      <c r="C56" s="188">
        <f>C55*C42</f>
        <v/>
      </c>
      <c r="D56" s="188">
        <f>D55*D42</f>
        <v/>
      </c>
      <c r="E56" s="208">
        <f>E55*E42</f>
        <v/>
      </c>
      <c r="F56" s="188">
        <f>E56*(1+F57)</f>
        <v/>
      </c>
      <c r="G56" s="188">
        <f>F56*(1+G57)</f>
        <v/>
      </c>
      <c r="H56" s="188">
        <f>G56*(1+H57)</f>
        <v/>
      </c>
      <c r="I56" s="188">
        <f>H56*(1+I57)</f>
        <v/>
      </c>
      <c r="J56" s="188">
        <f>I56*(1+J57)</f>
        <v/>
      </c>
    </row>
    <row r="57" ht="15.75" customHeight="1" s="169">
      <c r="A57" s="194" t="inlineStr">
        <is>
          <t>Growth of new orders</t>
        </is>
      </c>
      <c r="D57" s="187">
        <f>(D56-C56)/C56</f>
        <v/>
      </c>
      <c r="E57" s="189">
        <f>(E56-D56)/D56</f>
        <v/>
      </c>
      <c r="F57" s="187">
        <f>F190+F196</f>
        <v/>
      </c>
      <c r="G57" s="187">
        <f>G190+G196</f>
        <v/>
      </c>
      <c r="H57" s="187">
        <f>H190+H196</f>
        <v/>
      </c>
      <c r="I57" s="187">
        <f>I190+I196</f>
        <v/>
      </c>
      <c r="J57" s="187">
        <f>J190+J196</f>
        <v/>
      </c>
    </row>
    <row r="58" ht="15.75" customHeight="1" s="169">
      <c r="A58" s="194" t="n"/>
      <c r="D58" s="187" t="n"/>
      <c r="E58" s="189" t="n"/>
      <c r="F58" s="187" t="n"/>
      <c r="G58" s="187" t="n"/>
      <c r="H58" s="187" t="n"/>
      <c r="I58" s="187" t="n"/>
      <c r="J58" s="187" t="n"/>
    </row>
    <row r="59" ht="15.75" customHeight="1" s="169">
      <c r="A59" s="207" t="inlineStr">
        <is>
          <t>Sanity Checks</t>
        </is>
      </c>
      <c r="E59" s="177" t="n"/>
    </row>
    <row r="60" ht="15.75" customHeight="1" s="169">
      <c r="A60" s="194" t="n"/>
      <c r="E60" s="177" t="n"/>
    </row>
    <row r="61" ht="15.75" customHeight="1" s="169">
      <c r="A61" s="194" t="inlineStr">
        <is>
          <t>Book to Bill ratio</t>
        </is>
      </c>
      <c r="B61" s="168" t="inlineStr">
        <is>
          <t>x</t>
        </is>
      </c>
      <c r="C61" s="213">
        <f>C42/C43</f>
        <v/>
      </c>
      <c r="D61" s="168" t="n">
        <v>1.2</v>
      </c>
      <c r="E61" s="177" t="n">
        <v>1.2</v>
      </c>
      <c r="F61" s="213">
        <f>F42/F43</f>
        <v/>
      </c>
      <c r="G61" s="213">
        <f>G42/G43</f>
        <v/>
      </c>
      <c r="H61" s="213">
        <f>H42/H43</f>
        <v/>
      </c>
      <c r="I61" s="213">
        <f>I42/I43</f>
        <v/>
      </c>
      <c r="J61" s="213">
        <f>J42/J43</f>
        <v/>
      </c>
    </row>
    <row r="62" ht="15.75" customHeight="1" s="169">
      <c r="A62" s="194" t="inlineStr">
        <is>
          <t>Organic Change in Back-Log</t>
        </is>
      </c>
      <c r="C62" s="187" t="n">
        <v>0.29</v>
      </c>
      <c r="D62" s="187" t="n">
        <v>0.28</v>
      </c>
      <c r="E62" s="189" t="n">
        <v>0.19</v>
      </c>
      <c r="F62" s="187">
        <f>(G41-F41)/F41</f>
        <v/>
      </c>
      <c r="G62" s="187">
        <f>(H41-G41)/G41</f>
        <v/>
      </c>
      <c r="H62" s="187">
        <f>(I41-H41)/H41</f>
        <v/>
      </c>
      <c r="I62" s="187">
        <f>(J41-I41)/I41</f>
        <v/>
      </c>
      <c r="J62" s="187">
        <f>(J41+J42-J43-J41)/J41</f>
        <v/>
      </c>
    </row>
    <row r="63" ht="15.75" customHeight="1" s="169">
      <c r="A63" s="194" t="inlineStr">
        <is>
          <t>Organic Change in Net Sales</t>
        </is>
      </c>
      <c r="C63" s="187" t="n">
        <v>0.19</v>
      </c>
      <c r="D63" s="187" t="n">
        <v>0.13</v>
      </c>
      <c r="E63" s="189" t="n">
        <v>0.12</v>
      </c>
      <c r="F63" s="187">
        <f>(F43-E43)/E43</f>
        <v/>
      </c>
      <c r="G63" s="187">
        <f>(G43-F43)/F43</f>
        <v/>
      </c>
      <c r="H63" s="187">
        <f>(H43-G43)/G43</f>
        <v/>
      </c>
      <c r="I63" s="187">
        <f>(I43-H43)/H43</f>
        <v/>
      </c>
      <c r="J63" s="187">
        <f>(J43-I43)/I43</f>
        <v/>
      </c>
    </row>
    <row r="64" ht="15.75" customHeight="1" s="169">
      <c r="A64" s="194" t="inlineStr">
        <is>
          <t>Growth on basis of acquisitions</t>
        </is>
      </c>
      <c r="C64" s="187" t="n">
        <v>0</v>
      </c>
      <c r="D64" s="187" t="n">
        <v>0</v>
      </c>
      <c r="E64" s="189" t="n">
        <v>0.04</v>
      </c>
      <c r="F64" s="187" t="n">
        <v>0</v>
      </c>
      <c r="G64" s="187">
        <f>F64</f>
        <v/>
      </c>
      <c r="H64" s="187">
        <f>G64</f>
        <v/>
      </c>
      <c r="I64" s="187" t="n">
        <v>0</v>
      </c>
      <c r="J64" s="187">
        <f>I64</f>
        <v/>
      </c>
    </row>
    <row r="65" ht="15.75" customHeight="1" s="169">
      <c r="E65" s="177" t="n"/>
    </row>
    <row r="66" ht="15.75" customHeight="1" s="169">
      <c r="A66" s="214" t="inlineStr">
        <is>
          <t xml:space="preserve">Total % Change in Net Sales </t>
        </is>
      </c>
      <c r="B66" s="215" t="n"/>
      <c r="C66" s="216">
        <f>((C8+C9)-(B9+B8))/(B9+B8)</f>
        <v/>
      </c>
      <c r="D66" s="216">
        <f>((D8+D9)-(C9+C8))/(C9+C8)</f>
        <v/>
      </c>
      <c r="E66" s="217">
        <f>((E8+E9)-(D9+D8))/(D9+D8)</f>
        <v/>
      </c>
      <c r="F66" s="218">
        <f>(F43-(SUM(E43)))/E43</f>
        <v/>
      </c>
      <c r="G66" s="216">
        <f>(G43-(SUM(F43)))/F43</f>
        <v/>
      </c>
      <c r="H66" s="216">
        <f>(H43-(SUM(G43)))/G43</f>
        <v/>
      </c>
      <c r="I66" s="216">
        <f>(I43-(SUM(H43)))/H43</f>
        <v/>
      </c>
      <c r="J66" s="216">
        <f>(J43-(SUM(I43)))/I43</f>
        <v/>
      </c>
    </row>
    <row r="67" ht="15.75" customHeight="1" s="169">
      <c r="E67" s="177" t="n"/>
    </row>
    <row r="68" ht="15.75" customHeight="1" s="169">
      <c r="A68" s="219" t="inlineStr">
        <is>
          <t>3. Electrical Global</t>
        </is>
      </c>
      <c r="B68" s="193" t="n"/>
      <c r="C68" s="193" t="n"/>
      <c r="D68" s="193" t="n"/>
      <c r="E68" s="220" t="n"/>
      <c r="F68" s="193" t="n"/>
      <c r="G68" s="193" t="n"/>
      <c r="H68" s="193" t="n"/>
      <c r="I68" s="193" t="n"/>
      <c r="J68" s="193" t="n"/>
    </row>
    <row r="69" ht="15.75" customHeight="1" s="169">
      <c r="A69" s="221" t="n"/>
      <c r="E69" s="177" t="n"/>
    </row>
    <row r="70" ht="15.75" customHeight="1" s="169">
      <c r="A70" s="194" t="inlineStr">
        <is>
          <t>Back-Log Global</t>
        </is>
      </c>
      <c r="D70" s="168" t="n">
        <v>1522</v>
      </c>
      <c r="E70" s="177" t="n">
        <v>1704</v>
      </c>
      <c r="F70" s="222" t="n">
        <v>2034</v>
      </c>
      <c r="G70" s="178">
        <f>F70+F71-F72</f>
        <v/>
      </c>
      <c r="H70" s="178">
        <f>G70+G71-G72</f>
        <v/>
      </c>
      <c r="I70" s="178">
        <f>H70+H71-H72</f>
        <v/>
      </c>
      <c r="J70" s="178">
        <f>I70+I71-I72</f>
        <v/>
      </c>
      <c r="L70" s="168" t="inlineStr">
        <is>
          <t>Begning + new - revenue = old</t>
        </is>
      </c>
    </row>
    <row r="71" ht="15.75" customHeight="1" s="169">
      <c r="A71" s="194" t="inlineStr">
        <is>
          <t>New Orders</t>
        </is>
      </c>
      <c r="D71" s="168">
        <f>E70+D72-D70</f>
        <v/>
      </c>
      <c r="E71" s="177">
        <f>F70+E72-E70</f>
        <v/>
      </c>
      <c r="F71" s="178">
        <f>F77+F83</f>
        <v/>
      </c>
      <c r="G71" s="178">
        <f>G77+G83</f>
        <v/>
      </c>
      <c r="H71" s="178">
        <f>H77+H83</f>
        <v/>
      </c>
      <c r="I71" s="178">
        <f>I77+I83</f>
        <v/>
      </c>
      <c r="J71" s="178">
        <f>J77+J83</f>
        <v/>
      </c>
    </row>
    <row r="72" ht="15.75" customHeight="1" s="169">
      <c r="A72" s="194" t="inlineStr">
        <is>
          <t>Revenue</t>
        </is>
      </c>
      <c r="C72" s="168">
        <f>SUM(C10:C11)</f>
        <v/>
      </c>
      <c r="D72" s="168">
        <f>SUM(D10:D11)</f>
        <v/>
      </c>
      <c r="E72" s="177">
        <f>SUM(E10:E11)</f>
        <v/>
      </c>
      <c r="F72" s="178">
        <f>(F71+F70)*F73</f>
        <v/>
      </c>
      <c r="G72" s="178">
        <f>(G71+G70)*G73</f>
        <v/>
      </c>
      <c r="H72" s="178">
        <f>(H71+H70)*H73</f>
        <v/>
      </c>
      <c r="I72" s="178">
        <f>(I71+I70)*I73</f>
        <v/>
      </c>
      <c r="J72" s="178">
        <f>(J71+J70)*J73</f>
        <v/>
      </c>
    </row>
    <row r="73" ht="15.75" customHeight="1" s="169">
      <c r="A73" s="194" t="inlineStr">
        <is>
          <t>Revenue Recognition %</t>
        </is>
      </c>
      <c r="D73" s="187">
        <f>D72/(SUM(D70:D71))</f>
        <v/>
      </c>
      <c r="E73" s="189">
        <f>E72/(SUM(E70:E71))</f>
        <v/>
      </c>
      <c r="F73" s="187">
        <f>F203</f>
        <v/>
      </c>
      <c r="G73" s="187">
        <f>G203</f>
        <v/>
      </c>
      <c r="H73" s="187">
        <f>H203</f>
        <v/>
      </c>
      <c r="I73" s="187">
        <f>I203</f>
        <v/>
      </c>
      <c r="J73" s="187">
        <f>J203</f>
        <v/>
      </c>
    </row>
    <row r="74" ht="15.75" customHeight="1" s="169">
      <c r="A74" s="194" t="n"/>
      <c r="E74" s="177" t="n"/>
    </row>
    <row r="75" ht="15.75" customHeight="1" s="169">
      <c r="A75" s="207" t="inlineStr">
        <is>
          <t>Systems</t>
        </is>
      </c>
      <c r="E75" s="177" t="n"/>
    </row>
    <row r="76" ht="15.75" customHeight="1" s="169">
      <c r="A76" s="194" t="inlineStr">
        <is>
          <t>System  % of America Electrical</t>
        </is>
      </c>
      <c r="C76" s="187">
        <f>C11/(SUM(C10:C11))</f>
        <v/>
      </c>
      <c r="D76" s="187">
        <f>D11/(SUM(D10:D11))</f>
        <v/>
      </c>
      <c r="E76" s="189">
        <f>E11/(SUM(E10:E11))</f>
        <v/>
      </c>
      <c r="F76" s="187">
        <f>AVERAGE(C76:E76)</f>
        <v/>
      </c>
      <c r="G76" s="187" t="n">
        <v>0.433947179921999</v>
      </c>
      <c r="H76" s="187" t="n">
        <v>0.433947179921999</v>
      </c>
      <c r="I76" s="187" t="n">
        <v>0.433947179921999</v>
      </c>
      <c r="J76" s="187" t="n">
        <v>0.433947179921999</v>
      </c>
    </row>
    <row r="77" ht="15.75" customHeight="1" s="169">
      <c r="A77" s="194" t="inlineStr">
        <is>
          <t>New Orders of Electrical Systems</t>
        </is>
      </c>
      <c r="C77" s="188" t="n"/>
      <c r="D77" s="188">
        <f>D76*D71</f>
        <v/>
      </c>
      <c r="E77" s="208">
        <f>E76*E71</f>
        <v/>
      </c>
      <c r="F77" s="188">
        <f>(E77)*(1+F78)</f>
        <v/>
      </c>
      <c r="G77" s="188">
        <f>(F77)*(1+G78)</f>
        <v/>
      </c>
      <c r="H77" s="188">
        <f>(G77)*(1+H78)</f>
        <v/>
      </c>
      <c r="I77" s="188">
        <f>(H77)*(1+I78)</f>
        <v/>
      </c>
      <c r="J77" s="188">
        <f>(I77)*(1+J78)</f>
        <v/>
      </c>
    </row>
    <row r="78" ht="15.75" customHeight="1" s="169">
      <c r="A78" s="194" t="inlineStr">
        <is>
          <t>Growth of new orders</t>
        </is>
      </c>
      <c r="E78" s="189">
        <f>(E77-D77)/D77</f>
        <v/>
      </c>
      <c r="F78" s="187">
        <f>F79*F36</f>
        <v/>
      </c>
      <c r="G78" s="187">
        <f>G79*G36</f>
        <v/>
      </c>
      <c r="H78" s="187">
        <f>H79*H36</f>
        <v/>
      </c>
      <c r="I78" s="187">
        <f>I79*I36</f>
        <v/>
      </c>
      <c r="J78" s="187">
        <f>J79*J36</f>
        <v/>
      </c>
    </row>
    <row r="79" ht="15.75" customHeight="1" s="169">
      <c r="A79" s="194" t="inlineStr">
        <is>
          <t xml:space="preserve">Dependent on capex growth of big 4 </t>
        </is>
      </c>
      <c r="E79" s="189">
        <f>$E$78/E36</f>
        <v/>
      </c>
      <c r="F79" s="187">
        <f>F209</f>
        <v/>
      </c>
      <c r="G79" s="187">
        <f>G209</f>
        <v/>
      </c>
      <c r="H79" s="187">
        <f>H209</f>
        <v/>
      </c>
      <c r="I79" s="187">
        <f>I209</f>
        <v/>
      </c>
      <c r="J79" s="187">
        <f>J209</f>
        <v/>
      </c>
    </row>
    <row r="80" ht="15.75" customHeight="1" s="169">
      <c r="A80" s="194" t="n"/>
      <c r="E80" s="177" t="n"/>
    </row>
    <row r="81" ht="15.75" customHeight="1" s="169">
      <c r="A81" s="207" t="inlineStr">
        <is>
          <t>Product</t>
        </is>
      </c>
      <c r="E81" s="177" t="n"/>
    </row>
    <row r="82" ht="15.75" customHeight="1" s="169">
      <c r="A82" s="194" t="inlineStr">
        <is>
          <t>System  % of America Electrical</t>
        </is>
      </c>
      <c r="C82" s="187">
        <f>1-C76</f>
        <v/>
      </c>
      <c r="D82" s="187">
        <f>1-D76</f>
        <v/>
      </c>
      <c r="E82" s="189">
        <f>1-E76</f>
        <v/>
      </c>
      <c r="F82" s="187">
        <f>1-F76</f>
        <v/>
      </c>
      <c r="G82" s="187">
        <f>1-G76</f>
        <v/>
      </c>
      <c r="H82" s="187">
        <f>1-H76</f>
        <v/>
      </c>
      <c r="I82" s="187">
        <f>1-I76</f>
        <v/>
      </c>
      <c r="J82" s="187">
        <f>1-J76</f>
        <v/>
      </c>
    </row>
    <row r="83" ht="15.75" customHeight="1" s="169">
      <c r="A83" s="194" t="inlineStr">
        <is>
          <t>New Orders of Electrical Systems</t>
        </is>
      </c>
      <c r="D83" s="182">
        <f>D71*D82</f>
        <v/>
      </c>
      <c r="E83" s="223">
        <f>E71*E82</f>
        <v/>
      </c>
      <c r="F83" s="178">
        <f>E83*(1+F84)</f>
        <v/>
      </c>
      <c r="G83" s="178">
        <f>F83*(1+G84)</f>
        <v/>
      </c>
      <c r="H83" s="178">
        <f>G83*(1+H84)</f>
        <v/>
      </c>
      <c r="I83" s="178">
        <f>H83*(1+I84)</f>
        <v/>
      </c>
      <c r="J83" s="178">
        <f>I83*(1+J84)</f>
        <v/>
      </c>
    </row>
    <row r="84" ht="15.75" customHeight="1" s="169">
      <c r="A84" s="194" t="inlineStr">
        <is>
          <t>Growth of new orders</t>
        </is>
      </c>
      <c r="E84" s="189">
        <f>(E83-D83)/D83</f>
        <v/>
      </c>
      <c r="F84" s="187">
        <f>F215+F221</f>
        <v/>
      </c>
      <c r="G84" s="187">
        <f>G215+G221</f>
        <v/>
      </c>
      <c r="H84" s="187">
        <f>H215+H221</f>
        <v/>
      </c>
      <c r="I84" s="187">
        <f>I215+I221</f>
        <v/>
      </c>
      <c r="J84" s="187">
        <f>J215+J221</f>
        <v/>
      </c>
    </row>
    <row r="85" ht="15.75" customHeight="1" s="169">
      <c r="A85" s="194" t="n"/>
      <c r="E85" s="177" t="n"/>
    </row>
    <row r="86" ht="15.75" customHeight="1" s="169">
      <c r="A86" s="207" t="inlineStr">
        <is>
          <t>Sanity Checks</t>
        </is>
      </c>
      <c r="E86" s="177" t="n"/>
    </row>
    <row r="87" ht="15.75" customHeight="1" s="169">
      <c r="A87" s="194" t="n"/>
      <c r="E87" s="177" t="n"/>
    </row>
    <row r="88" ht="15.75" customHeight="1" s="169">
      <c r="A88" s="194" t="inlineStr">
        <is>
          <t>Book to Bill ratio</t>
        </is>
      </c>
      <c r="C88" s="168" t="n">
        <v>1.1</v>
      </c>
      <c r="D88" s="168" t="n">
        <v>1.1</v>
      </c>
      <c r="E88" s="177" t="n">
        <v>1</v>
      </c>
      <c r="F88" s="224">
        <f>F71/F72</f>
        <v/>
      </c>
      <c r="G88" s="224">
        <f>G71/G72</f>
        <v/>
      </c>
      <c r="H88" s="224">
        <f>H71/H72</f>
        <v/>
      </c>
      <c r="I88" s="224">
        <f>I71/I72</f>
        <v/>
      </c>
      <c r="J88" s="224">
        <f>J71/J72</f>
        <v/>
      </c>
    </row>
    <row r="89" ht="15.75" customHeight="1" s="169">
      <c r="A89" s="194" t="inlineStr">
        <is>
          <t>Organic Change in Back-Log</t>
        </is>
      </c>
      <c r="C89" s="187" t="n">
        <v>0.16</v>
      </c>
      <c r="D89" s="187" t="n">
        <v>0.12</v>
      </c>
      <c r="E89" s="189" t="n">
        <v>0.19</v>
      </c>
      <c r="F89" s="187">
        <f>(F70-E70)/E70</f>
        <v/>
      </c>
      <c r="G89" s="187">
        <f>(G70-F70)/F70</f>
        <v/>
      </c>
      <c r="H89" s="187">
        <f>(H70-G70)/G70</f>
        <v/>
      </c>
      <c r="I89" s="187">
        <f>(I70-H70)/H70</f>
        <v/>
      </c>
      <c r="J89" s="187">
        <f>(J70-I70)/I70</f>
        <v/>
      </c>
    </row>
    <row r="90" ht="15.75" customHeight="1" s="169">
      <c r="A90" s="194" t="inlineStr">
        <is>
          <t>Organic Change in Net Sales</t>
        </is>
      </c>
      <c r="C90" s="187" t="n">
        <v>0.04</v>
      </c>
      <c r="D90" s="187" t="n">
        <v>0.05</v>
      </c>
      <c r="E90" s="189" t="n">
        <v>0.07000000000000001</v>
      </c>
      <c r="F90" s="187">
        <f>(F72-E72)/E72-F92</f>
        <v/>
      </c>
      <c r="G90" s="187">
        <f>(G72-F72)/F72-G92</f>
        <v/>
      </c>
      <c r="H90" s="187">
        <f>(H72-G72)/G72-H92</f>
        <v/>
      </c>
      <c r="I90" s="187">
        <f>(I72-H72)/H72-I92</f>
        <v/>
      </c>
      <c r="J90" s="187">
        <f>(J72-I72)/I72-J92</f>
        <v/>
      </c>
    </row>
    <row r="91" ht="15.75" customHeight="1" s="169">
      <c r="A91" s="194" t="inlineStr">
        <is>
          <t>Growth on basis of acquisitions</t>
        </is>
      </c>
      <c r="C91" s="187" t="n"/>
      <c r="D91" s="187" t="n"/>
      <c r="E91" s="189" t="n"/>
      <c r="F91" s="187">
        <f>F295/E72</f>
        <v/>
      </c>
      <c r="G91" s="187" t="n">
        <v>0</v>
      </c>
      <c r="H91" s="187" t="n">
        <v>0</v>
      </c>
      <c r="I91" s="187" t="n">
        <v>0</v>
      </c>
      <c r="J91" s="187" t="n">
        <v>0</v>
      </c>
      <c r="L91" s="168" t="inlineStr">
        <is>
          <t>Boyd in 2026 only, organic from Mar-27</t>
        </is>
      </c>
    </row>
    <row r="92" ht="15.75" customHeight="1" s="169">
      <c r="A92" s="194" t="inlineStr">
        <is>
          <t>Gowth on the basis of FX</t>
        </is>
      </c>
      <c r="D92" s="187" t="n">
        <v>0.07000000000000001</v>
      </c>
      <c r="E92" s="189" t="n">
        <v>0.02</v>
      </c>
      <c r="F92" s="187" t="n">
        <v>0</v>
      </c>
      <c r="G92" s="187" t="n">
        <v>0</v>
      </c>
      <c r="H92" s="187" t="n">
        <v>0</v>
      </c>
      <c r="I92" s="187" t="n">
        <v>0</v>
      </c>
      <c r="J92" s="187" t="n">
        <v>0</v>
      </c>
    </row>
    <row r="93" ht="15.75" customHeight="1" s="169">
      <c r="E93" s="177" t="n"/>
    </row>
    <row r="94" ht="15.75" customHeight="1" s="169">
      <c r="A94" s="225" t="inlineStr">
        <is>
          <t xml:space="preserve">Total % Change in Net Sales </t>
        </is>
      </c>
      <c r="B94" s="226" t="n"/>
      <c r="C94" s="227">
        <f>((C10+C11)-(B11+B10))/(B10+B11)</f>
        <v/>
      </c>
      <c r="D94" s="227">
        <f>((D10+D11)-(C11+C10))/(C10+C11)</f>
        <v/>
      </c>
      <c r="E94" s="228">
        <f>((E10+E11)-(D11+D10))/(D10+D11)</f>
        <v/>
      </c>
      <c r="F94" s="229">
        <f>((F10+F11)-(E10+E11))/(E10+E11)</f>
        <v/>
      </c>
      <c r="G94" s="227">
        <f>((G10+G11)-(F10+F11))/(F10+F11)</f>
        <v/>
      </c>
      <c r="H94" s="227">
        <f>((H10+H11)-(G10+G11))/(G10+G11)</f>
        <v/>
      </c>
      <c r="I94" s="227">
        <f>((I10+I11)-(H10+H11))/(H10+H11)</f>
        <v/>
      </c>
      <c r="J94" s="227">
        <f>((J10+J11)-(I10+I11))/(I10+I11)</f>
        <v/>
      </c>
    </row>
    <row r="95" ht="15.75" customHeight="1" s="169">
      <c r="E95" s="177" t="n"/>
    </row>
    <row r="96" ht="15.75" customHeight="1" s="169">
      <c r="A96" s="219" t="inlineStr">
        <is>
          <t>4. Aerospace</t>
        </is>
      </c>
      <c r="B96" s="193" t="n"/>
      <c r="C96" s="193" t="n"/>
      <c r="D96" s="193" t="n"/>
      <c r="E96" s="220" t="n"/>
      <c r="F96" s="193" t="n"/>
      <c r="G96" s="193" t="n"/>
      <c r="H96" s="193" t="n"/>
      <c r="I96" s="193" t="n"/>
      <c r="J96" s="193" t="n"/>
    </row>
    <row r="97" ht="15.75" customHeight="1" s="169">
      <c r="A97" s="230" t="n"/>
      <c r="E97" s="177" t="n"/>
    </row>
    <row r="98" ht="15.75" customHeight="1" s="169">
      <c r="A98" s="168" t="inlineStr">
        <is>
          <t>OEM Revenue</t>
        </is>
      </c>
      <c r="B98" s="186" t="n">
        <v>1209</v>
      </c>
      <c r="C98" s="186" t="n">
        <v>1350</v>
      </c>
      <c r="D98" s="186" t="n">
        <v>1500</v>
      </c>
      <c r="E98" s="231" t="n">
        <v>1640</v>
      </c>
      <c r="F98" s="178">
        <f>E98*(1+F99)</f>
        <v/>
      </c>
      <c r="G98" s="178">
        <f>F98*(1+G99)</f>
        <v/>
      </c>
      <c r="H98" s="178">
        <f>G98*(1+H99)</f>
        <v/>
      </c>
      <c r="I98" s="178">
        <f>H98*(1+I99)</f>
        <v/>
      </c>
      <c r="J98" s="178">
        <f>I98*(1+J99)</f>
        <v/>
      </c>
    </row>
    <row r="99" ht="15.75" customHeight="1" s="169">
      <c r="A99" s="168" t="inlineStr">
        <is>
          <t>Growth %</t>
        </is>
      </c>
      <c r="B99" s="186" t="n"/>
      <c r="C99" s="232">
        <f>(C98-B98)/B98</f>
        <v/>
      </c>
      <c r="D99" s="232">
        <f>(D98-C98)/C98</f>
        <v/>
      </c>
      <c r="E99" s="233">
        <f>(E98-D98)/D98</f>
        <v/>
      </c>
      <c r="F99" s="187">
        <f>$F$297*F109+(1-$F$297)*F246+F252</f>
        <v/>
      </c>
      <c r="G99" s="187">
        <f>$F$297*G109+(1-$F$297)*G246+G252</f>
        <v/>
      </c>
      <c r="H99" s="187">
        <f>$F$297*H109+(1-$F$297)*H246+H252</f>
        <v/>
      </c>
      <c r="I99" s="187">
        <f>$F$297*I109+(1-$F$297)*I246+I252</f>
        <v/>
      </c>
      <c r="J99" s="187">
        <f>$F$297*J109+(1-$F$297)*J246+J252</f>
        <v/>
      </c>
      <c r="K99" s="168" t="inlineStr">
        <is>
          <t>Driven off Boeing + Airbus deliveries, defense and price (see drivers)</t>
        </is>
      </c>
    </row>
    <row r="100" ht="15.75" customHeight="1" s="169">
      <c r="B100" s="186" t="n"/>
      <c r="C100" s="186" t="n"/>
      <c r="D100" s="186" t="n"/>
      <c r="E100" s="231" t="n"/>
    </row>
    <row r="101" ht="15.75" customHeight="1" s="169">
      <c r="A101" s="168" t="inlineStr">
        <is>
          <t>After Market Revenue</t>
        </is>
      </c>
      <c r="B101" s="168" t="n">
        <v>977</v>
      </c>
      <c r="C101" s="168" t="n">
        <v>1183</v>
      </c>
      <c r="D101" s="168" t="n">
        <v>1312</v>
      </c>
      <c r="E101" s="177" t="n">
        <v>1553</v>
      </c>
      <c r="F101" s="178">
        <f>E101*(1+F258+F264)</f>
        <v/>
      </c>
      <c r="G101" s="178">
        <f>F101*(1+G258+G264)</f>
        <v/>
      </c>
      <c r="H101" s="178">
        <f>G101*(1+H258+H264)</f>
        <v/>
      </c>
      <c r="I101" s="178">
        <f>H101*(1+I258+I264)</f>
        <v/>
      </c>
      <c r="J101" s="178">
        <f>I101*(1+J258+J264)</f>
        <v/>
      </c>
    </row>
    <row r="102" ht="15.75" customHeight="1" s="169">
      <c r="A102" s="168" t="inlineStr">
        <is>
          <t>Industrial and other Revenue</t>
        </is>
      </c>
      <c r="B102" s="168" t="n">
        <v>854</v>
      </c>
      <c r="C102" s="168" t="n">
        <v>878</v>
      </c>
      <c r="D102" s="168" t="n">
        <v>931</v>
      </c>
      <c r="E102" s="177" t="n">
        <v>1055</v>
      </c>
      <c r="F102" s="178">
        <f>E102*(1+F246)</f>
        <v/>
      </c>
      <c r="G102" s="178">
        <f>F102*(1+G246)</f>
        <v/>
      </c>
      <c r="H102" s="178">
        <f>G102*(1+H246)</f>
        <v/>
      </c>
      <c r="I102" s="178">
        <f>H102*(1+I246)</f>
        <v/>
      </c>
      <c r="J102" s="178">
        <f>I102*(1+J246)</f>
        <v/>
      </c>
    </row>
    <row r="103" ht="15.75" customHeight="1" s="169">
      <c r="E103" s="177" t="n"/>
    </row>
    <row r="104" ht="15.75" customHeight="1" s="169">
      <c r="A104" s="168" t="inlineStr">
        <is>
          <t>Boeing Build Rates</t>
        </is>
      </c>
      <c r="B104" s="168" t="n">
        <v>480</v>
      </c>
      <c r="C104" s="168" t="n">
        <v>528</v>
      </c>
      <c r="D104" s="168" t="n">
        <v>348</v>
      </c>
      <c r="E104" s="177" t="n">
        <v>600</v>
      </c>
      <c r="F104" s="178">
        <f>F234</f>
        <v/>
      </c>
      <c r="G104" s="178">
        <f>G234</f>
        <v/>
      </c>
      <c r="H104" s="178">
        <f>H234</f>
        <v/>
      </c>
      <c r="I104" s="178">
        <f>I234</f>
        <v/>
      </c>
      <c r="J104" s="178">
        <f>J234</f>
        <v/>
      </c>
    </row>
    <row r="105" ht="15.75" customHeight="1" s="169">
      <c r="A105" s="168" t="inlineStr">
        <is>
          <t xml:space="preserve">  Growth %</t>
        </is>
      </c>
      <c r="C105" s="234">
        <f>(C104-B104)/B104</f>
        <v/>
      </c>
      <c r="D105" s="234">
        <f>(D104-C104)/C104</f>
        <v/>
      </c>
      <c r="E105" s="235">
        <f>(E104-D104)/D104</f>
        <v/>
      </c>
      <c r="F105" s="235">
        <f>(F104-E104)/E104</f>
        <v/>
      </c>
      <c r="G105" s="235">
        <f>(G104-F104)/F104</f>
        <v/>
      </c>
      <c r="H105" s="235">
        <f>(H104-G104)/G104</f>
        <v/>
      </c>
      <c r="I105" s="235">
        <f>(I104-H104)/H104</f>
        <v/>
      </c>
      <c r="J105" s="235">
        <f>(J104-I104)/I104</f>
        <v/>
      </c>
    </row>
    <row r="106" ht="15.75" customHeight="1" s="169">
      <c r="A106" s="168" t="inlineStr">
        <is>
          <t xml:space="preserve">Airbus Build Rates </t>
        </is>
      </c>
      <c r="B106" s="168" t="n">
        <v>661</v>
      </c>
      <c r="C106" s="168" t="n">
        <v>735</v>
      </c>
      <c r="D106" s="168" t="n">
        <v>766</v>
      </c>
      <c r="E106" s="177" t="n">
        <v>793</v>
      </c>
      <c r="F106" s="178">
        <f>F240</f>
        <v/>
      </c>
      <c r="G106" s="178">
        <f>G240</f>
        <v/>
      </c>
      <c r="H106" s="178">
        <f>H240</f>
        <v/>
      </c>
      <c r="I106" s="178">
        <f>I240</f>
        <v/>
      </c>
      <c r="J106" s="178">
        <f>J240</f>
        <v/>
      </c>
    </row>
    <row r="107" ht="15.75" customHeight="1" s="169">
      <c r="A107" s="168" t="inlineStr">
        <is>
          <t xml:space="preserve">  Growth %</t>
        </is>
      </c>
      <c r="C107" s="187">
        <f>(C106-B106)/B106</f>
        <v/>
      </c>
      <c r="D107" s="187">
        <f>(D106-C106)/C106</f>
        <v/>
      </c>
      <c r="E107" s="189">
        <f>(E106-D106)/D106</f>
        <v/>
      </c>
      <c r="F107" s="235">
        <f>(F106-E106)/E106</f>
        <v/>
      </c>
      <c r="G107" s="235">
        <f>(G106-F106)/F106</f>
        <v/>
      </c>
      <c r="H107" s="235">
        <f>(H106-G106)/G106</f>
        <v/>
      </c>
      <c r="I107" s="235">
        <f>(I106-H106)/H106</f>
        <v/>
      </c>
      <c r="J107" s="235">
        <f>(J106-I106)/I106</f>
        <v/>
      </c>
    </row>
    <row r="108" ht="15.75" customHeight="1" s="169">
      <c r="E108" s="177" t="n"/>
    </row>
    <row r="109" ht="15.75" customHeight="1" s="169">
      <c r="A109" s="168" t="inlineStr">
        <is>
          <t>Combined Growth Rate</t>
        </is>
      </c>
      <c r="C109" s="187">
        <f>(SUM(C106,C104)-SUM(B106,B104))/SUM(B104,B106)</f>
        <v/>
      </c>
      <c r="D109" s="187">
        <f>(SUM(D106,D104)-SUM(C106,C104))/SUM(C104,C106)</f>
        <v/>
      </c>
      <c r="E109" s="189">
        <f>(SUM(E106,E104)-SUM(D106,D104))/SUM(D104,D106)</f>
        <v/>
      </c>
      <c r="F109" s="235">
        <f>(SUM(F106,F104)-SUM(E106,E104))/SUM(E104,E106)</f>
        <v/>
      </c>
      <c r="G109" s="235">
        <f>(SUM(G106,G104)-SUM(F106,F104))/SUM(F104,F106)</f>
        <v/>
      </c>
      <c r="H109" s="235">
        <f>(SUM(H106,H104)-SUM(G106,G104))/SUM(G104,G106)</f>
        <v/>
      </c>
      <c r="I109" s="235">
        <f>(SUM(I106,I104)-SUM(H106,H104))/SUM(H104,H106)</f>
        <v/>
      </c>
      <c r="J109" s="235">
        <f>(SUM(J106,J104)-SUM(I106,I104))/SUM(I104,I106)</f>
        <v/>
      </c>
    </row>
    <row r="110" ht="15.75" customHeight="1" s="169">
      <c r="E110" s="177" t="n"/>
    </row>
    <row r="111" ht="15.75" customHeight="1" s="169">
      <c r="E111" s="177" t="n"/>
    </row>
    <row r="112" ht="15.75" customHeight="1" s="169">
      <c r="A112" s="168" t="inlineStr">
        <is>
          <t>OEM Growth % as a % of Average Buildout</t>
        </is>
      </c>
      <c r="C112" s="236">
        <f>C99/(AVERAGE(C105,C107))</f>
        <v/>
      </c>
      <c r="D112" s="236">
        <f>D99/(AVERAGE(D105,D107))</f>
        <v/>
      </c>
      <c r="E112" s="237">
        <f>E99/(AVERAGE(E105,E107))</f>
        <v/>
      </c>
    </row>
    <row r="113" ht="15.75" customHeight="1" s="169">
      <c r="E113" s="177" t="n"/>
    </row>
    <row r="114" ht="15.75" customHeight="1" s="169">
      <c r="A114" s="168" t="inlineStr">
        <is>
          <t>Boeing 787 Build Rate</t>
        </is>
      </c>
      <c r="B114" s="168" t="n">
        <v>31</v>
      </c>
      <c r="C114" s="168" t="n">
        <v>73</v>
      </c>
      <c r="D114" s="168" t="n">
        <v>51</v>
      </c>
      <c r="E114" s="177">
        <f>45</f>
        <v/>
      </c>
    </row>
    <row r="115" ht="15.75" customHeight="1" s="169">
      <c r="E115" s="177" t="n"/>
    </row>
    <row r="116" ht="15.75" customHeight="1" s="169">
      <c r="A116" s="168" t="inlineStr">
        <is>
          <t>Bombardier Learjet</t>
        </is>
      </c>
      <c r="E116" s="177" t="n"/>
    </row>
    <row r="117" ht="15.75" customHeight="1" s="169">
      <c r="A117" s="219" t="inlineStr">
        <is>
          <t>5. Vehicle</t>
        </is>
      </c>
      <c r="B117" s="193" t="n"/>
      <c r="C117" s="193" t="n"/>
      <c r="D117" s="193" t="n"/>
      <c r="E117" s="220" t="n"/>
      <c r="F117" s="193" t="n"/>
      <c r="G117" s="193" t="n"/>
      <c r="H117" s="193" t="n"/>
      <c r="I117" s="193" t="n"/>
      <c r="J117" s="193" t="n"/>
    </row>
    <row r="118" ht="15.75" customHeight="1" s="169">
      <c r="E118" s="177" t="n"/>
    </row>
    <row r="119" ht="15.75" customHeight="1" s="169">
      <c r="A119" s="168" t="inlineStr">
        <is>
          <t>Commercial</t>
        </is>
      </c>
      <c r="B119" s="168" t="n">
        <v>1736</v>
      </c>
      <c r="C119" s="168" t="n">
        <v>1784</v>
      </c>
      <c r="D119" s="168" t="n">
        <v>1707</v>
      </c>
      <c r="E119" s="177" t="n">
        <v>1448</v>
      </c>
      <c r="F119" s="182">
        <f>E119*(1+F120)</f>
        <v/>
      </c>
      <c r="G119" s="182">
        <f>F119*(1+G120)</f>
        <v/>
      </c>
      <c r="H119" s="182">
        <f>G119*(1+H120)</f>
        <v/>
      </c>
      <c r="I119" s="182">
        <f>H119*(1+I120)</f>
        <v/>
      </c>
      <c r="J119" s="182">
        <f>I119*(1+J120)</f>
        <v/>
      </c>
    </row>
    <row r="120" ht="15.75" customHeight="1" s="169">
      <c r="A120" s="168" t="inlineStr">
        <is>
          <t>Growth %</t>
        </is>
      </c>
      <c r="C120" s="187">
        <f>(C119-B119)/B119</f>
        <v/>
      </c>
      <c r="D120" s="187">
        <f>(D119-C119)/C119</f>
        <v/>
      </c>
      <c r="E120" s="189">
        <f>(E119-D119)/D119</f>
        <v/>
      </c>
      <c r="F120" s="187">
        <f>F271+F283</f>
        <v/>
      </c>
      <c r="G120" s="187">
        <f>G271+G283</f>
        <v/>
      </c>
      <c r="H120" s="187">
        <f>H271+H283</f>
        <v/>
      </c>
      <c r="I120" s="187">
        <f>I271+I283</f>
        <v/>
      </c>
      <c r="J120" s="187">
        <f>J271+J283</f>
        <v/>
      </c>
    </row>
    <row r="121" ht="15.75" customHeight="1" s="169">
      <c r="E121" s="177" t="n"/>
    </row>
    <row r="122" ht="15.75" customHeight="1" s="169">
      <c r="A122" s="168" t="inlineStr">
        <is>
          <t>Passenger &amp; Light duty</t>
        </is>
      </c>
      <c r="B122" s="168" t="n">
        <v>1094</v>
      </c>
      <c r="C122" s="168" t="n">
        <v>1180</v>
      </c>
      <c r="D122" s="168" t="n">
        <v>1083</v>
      </c>
      <c r="E122" s="177" t="n">
        <v>1056</v>
      </c>
      <c r="F122" s="182">
        <f>E122*(1+F123)</f>
        <v/>
      </c>
      <c r="G122" s="182">
        <f>F122*(1+G123)</f>
        <v/>
      </c>
      <c r="H122" s="182">
        <f>G122*(1+H123)</f>
        <v/>
      </c>
      <c r="I122" s="182">
        <f>H122*(1+I123)</f>
        <v/>
      </c>
      <c r="J122" s="182">
        <f>I122*(1+J123)</f>
        <v/>
      </c>
    </row>
    <row r="123" ht="15.75" customHeight="1" s="169">
      <c r="A123" s="168" t="inlineStr">
        <is>
          <t>Growth %</t>
        </is>
      </c>
      <c r="C123" s="187">
        <f>(C122-B122)/B122</f>
        <v/>
      </c>
      <c r="D123" s="187">
        <f>(D122-C122)/C122</f>
        <v/>
      </c>
      <c r="E123" s="189">
        <f>(E122-D122)/D122</f>
        <v/>
      </c>
      <c r="F123" s="187">
        <f>F277+F283</f>
        <v/>
      </c>
      <c r="G123" s="187">
        <f>G277+G283</f>
        <v/>
      </c>
      <c r="H123" s="187">
        <f>H277+H283</f>
        <v/>
      </c>
      <c r="I123" s="187">
        <f>I277+I283</f>
        <v/>
      </c>
      <c r="J123" s="187">
        <f>J277+J283</f>
        <v/>
      </c>
    </row>
    <row r="124" ht="15.75" customHeight="1" s="169">
      <c r="E124" s="177" t="n"/>
    </row>
    <row r="125" ht="15.75" customHeight="1" s="169">
      <c r="A125" s="168" t="inlineStr">
        <is>
          <t>E-Mobility</t>
        </is>
      </c>
      <c r="B125" s="168" t="n">
        <v>538</v>
      </c>
      <c r="C125" s="168" t="n">
        <v>636</v>
      </c>
      <c r="D125" s="168" t="n">
        <v>662</v>
      </c>
      <c r="E125" s="177" t="n">
        <v>604</v>
      </c>
      <c r="F125" s="182">
        <f>E125*(1+F126)</f>
        <v/>
      </c>
      <c r="G125" s="182">
        <f>F125*(1+G126)</f>
        <v/>
      </c>
      <c r="H125" s="182">
        <f>G125*(1+H126)</f>
        <v/>
      </c>
      <c r="I125" s="182">
        <f>H125*(1+I126)</f>
        <v/>
      </c>
      <c r="J125" s="182">
        <f>I125*(1+J126)</f>
        <v/>
      </c>
    </row>
    <row r="126" ht="15.75" customHeight="1" s="169">
      <c r="A126" s="168" t="inlineStr">
        <is>
          <t>Growth %</t>
        </is>
      </c>
      <c r="C126" s="187">
        <f>(C125-B125)/B125</f>
        <v/>
      </c>
      <c r="D126" s="187">
        <f>(D125-C125)/C125</f>
        <v/>
      </c>
      <c r="E126" s="189">
        <f>(E125-D125)/D125</f>
        <v/>
      </c>
      <c r="F126" s="187">
        <f>F289</f>
        <v/>
      </c>
      <c r="G126" s="187">
        <f>G289</f>
        <v/>
      </c>
      <c r="H126" s="187">
        <f>H289</f>
        <v/>
      </c>
      <c r="I126" s="187">
        <f>I289</f>
        <v/>
      </c>
      <c r="J126" s="187">
        <f>J289</f>
        <v/>
      </c>
    </row>
    <row r="127" ht="15.75" customHeight="1" s="169">
      <c r="E127" s="177" t="n"/>
    </row>
    <row r="128" ht="15.75" customHeight="1" s="169">
      <c r="E128" s="177" t="n"/>
    </row>
    <row r="129" ht="15.75" customHeight="1" s="169">
      <c r="E129" s="177" t="n"/>
    </row>
    <row r="130" ht="15.75" customHeight="1" s="169">
      <c r="A130" s="219" t="inlineStr">
        <is>
          <t>6. Scenarios</t>
        </is>
      </c>
      <c r="B130" s="219" t="n"/>
      <c r="C130" s="219" t="n"/>
      <c r="D130" s="219" t="n"/>
      <c r="E130" s="219" t="n"/>
      <c r="F130" s="219" t="n"/>
      <c r="G130" s="219" t="n"/>
      <c r="H130" s="219" t="n"/>
      <c r="I130" s="219" t="n"/>
      <c r="J130" s="219" t="n"/>
    </row>
    <row r="131" ht="15.75" customHeight="1" s="169">
      <c r="A131" s="168" t="inlineStr">
        <is>
          <t>Case selected</t>
        </is>
      </c>
      <c r="B131" s="171">
        <f>$C$2</f>
        <v/>
      </c>
      <c r="E131" s="177" t="n"/>
    </row>
    <row r="132" ht="15.75" customHeight="1" s="169">
      <c r="E132" s="177" t="n"/>
    </row>
    <row r="133" ht="15.75" customHeight="1" s="169">
      <c r="A133" s="221" t="inlineStr">
        <is>
          <t>Scenario Output ($M)</t>
        </is>
      </c>
      <c r="E133" s="176">
        <f>E5</f>
        <v/>
      </c>
      <c r="F133" s="176">
        <f>F5</f>
        <v/>
      </c>
      <c r="G133" s="176">
        <f>G5</f>
        <v/>
      </c>
      <c r="H133" s="176">
        <f>H5</f>
        <v/>
      </c>
      <c r="I133" s="176">
        <f>I5</f>
        <v/>
      </c>
      <c r="J133" s="176">
        <f>J5</f>
        <v/>
      </c>
    </row>
    <row r="134" ht="15.75" customHeight="1" s="169">
      <c r="A134" s="207" t="inlineStr">
        <is>
          <t>Live case (flows from the build above)</t>
        </is>
      </c>
    </row>
    <row r="135" ht="15.75" customHeight="1" s="169">
      <c r="A135" s="168" t="inlineStr">
        <is>
          <t xml:space="preserve">   Electrical Americas</t>
        </is>
      </c>
      <c r="E135" s="178">
        <f>E8+E9</f>
        <v/>
      </c>
      <c r="F135" s="178">
        <f>F8+F9</f>
        <v/>
      </c>
      <c r="G135" s="178">
        <f>G8+G9</f>
        <v/>
      </c>
      <c r="H135" s="178">
        <f>H8+H9</f>
        <v/>
      </c>
      <c r="I135" s="178">
        <f>I8+I9</f>
        <v/>
      </c>
      <c r="J135" s="178">
        <f>J8+J9</f>
        <v/>
      </c>
    </row>
    <row r="136" ht="15.75" customHeight="1" s="169">
      <c r="A136" s="168" t="inlineStr">
        <is>
          <t xml:space="preserve">   Electrical Global</t>
        </is>
      </c>
      <c r="E136" s="178">
        <f>E10+E11</f>
        <v/>
      </c>
      <c r="F136" s="178">
        <f>F10+F11</f>
        <v/>
      </c>
      <c r="G136" s="178">
        <f>G10+G11</f>
        <v/>
      </c>
      <c r="H136" s="178">
        <f>H10+H11</f>
        <v/>
      </c>
      <c r="I136" s="178">
        <f>I10+I11</f>
        <v/>
      </c>
      <c r="J136" s="178">
        <f>J10+J11</f>
        <v/>
      </c>
    </row>
    <row r="137" ht="15.75" customHeight="1" s="169">
      <c r="A137" s="168" t="inlineStr">
        <is>
          <t xml:space="preserve">   Aerospace</t>
        </is>
      </c>
      <c r="E137" s="178">
        <f>E12</f>
        <v/>
      </c>
      <c r="F137" s="178">
        <f>F12</f>
        <v/>
      </c>
      <c r="G137" s="178">
        <f>G12</f>
        <v/>
      </c>
      <c r="H137" s="178">
        <f>H12</f>
        <v/>
      </c>
      <c r="I137" s="178">
        <f>I12</f>
        <v/>
      </c>
      <c r="J137" s="178">
        <f>J12</f>
        <v/>
      </c>
    </row>
    <row r="138" ht="15.75" customHeight="1" s="169">
      <c r="A138" s="168" t="inlineStr">
        <is>
          <t xml:space="preserve">   Mobility (Vehicle + eMobility)</t>
        </is>
      </c>
      <c r="E138" s="178">
        <f>E13+E14</f>
        <v/>
      </c>
      <c r="F138" s="178">
        <f>F13+F14</f>
        <v/>
      </c>
      <c r="G138" s="178">
        <f>G13+G14</f>
        <v/>
      </c>
      <c r="H138" s="178">
        <f>H13+H14</f>
        <v/>
      </c>
      <c r="I138" s="178">
        <f>I13+I14</f>
        <v/>
      </c>
      <c r="J138" s="178">
        <f>J13+J14</f>
        <v/>
      </c>
    </row>
    <row r="139" ht="15.75" customHeight="1" s="169">
      <c r="A139" s="171" t="inlineStr">
        <is>
          <t>Total Revenues</t>
        </is>
      </c>
      <c r="E139" s="238">
        <f>SUM(E135:E138)</f>
        <v/>
      </c>
      <c r="F139" s="238">
        <f>SUM(F135:F138)</f>
        <v/>
      </c>
      <c r="G139" s="238">
        <f>SUM(G135:G138)</f>
        <v/>
      </c>
      <c r="H139" s="238">
        <f>SUM(H135:H138)</f>
        <v/>
      </c>
      <c r="I139" s="238">
        <f>SUM(I135:I138)</f>
        <v/>
      </c>
      <c r="J139" s="238">
        <f>SUM(J135:J138)</f>
        <v/>
      </c>
    </row>
    <row r="140" ht="15.75" customHeight="1" s="169">
      <c r="A140" s="168" t="inlineStr">
        <is>
          <t xml:space="preserve">  growth YoY</t>
        </is>
      </c>
      <c r="F140" s="236">
        <f>(F139-E139)/E139</f>
        <v/>
      </c>
      <c r="G140" s="236">
        <f>(G139-F139)/F139</f>
        <v/>
      </c>
      <c r="H140" s="236">
        <f>(H139-G139)/G139</f>
        <v/>
      </c>
      <c r="I140" s="236">
        <f>(I139-H139)/H139</f>
        <v/>
      </c>
      <c r="J140" s="236">
        <f>(J139-I139)/I139</f>
        <v/>
      </c>
    </row>
    <row r="142" ht="15.75" customHeight="1" s="169">
      <c r="A142" s="207" t="inlineStr">
        <is>
          <t>Base case (pasted values)</t>
        </is>
      </c>
      <c r="L142" s="168" t="inlineStr">
        <is>
          <t>Pasted rows are values. Change B2, then copy the live block and paste values into that case.</t>
        </is>
      </c>
    </row>
    <row r="143" ht="15.75" customHeight="1" s="169">
      <c r="A143" s="168" t="inlineStr">
        <is>
          <t xml:space="preserve">   Electrical Americas</t>
        </is>
      </c>
      <c r="E143" s="178" t="n">
        <v>13275</v>
      </c>
      <c r="F143" s="178" t="n">
        <v>15724.3</v>
      </c>
      <c r="G143" s="178" t="n">
        <v>17780.5</v>
      </c>
      <c r="H143" s="178" t="n">
        <v>19372.9</v>
      </c>
      <c r="I143" s="178" t="n">
        <v>20646.4</v>
      </c>
      <c r="J143" s="178" t="n">
        <v>21634.2</v>
      </c>
    </row>
    <row r="144" ht="15.75" customHeight="1" s="169">
      <c r="A144" s="168" t="inlineStr">
        <is>
          <t xml:space="preserve">   Electrical Global</t>
        </is>
      </c>
      <c r="E144" s="178" t="n">
        <v>6815</v>
      </c>
      <c r="F144" s="178" t="n">
        <v>9135.4</v>
      </c>
      <c r="G144" s="178" t="n">
        <v>9876.4</v>
      </c>
      <c r="H144" s="178" t="n">
        <v>10474.8</v>
      </c>
      <c r="I144" s="178" t="n">
        <v>11073.3</v>
      </c>
      <c r="J144" s="178" t="n">
        <v>11714.9</v>
      </c>
    </row>
    <row r="145" ht="15.75" customHeight="1" s="169">
      <c r="A145" s="168" t="inlineStr">
        <is>
          <t xml:space="preserve">   Aerospace</t>
        </is>
      </c>
      <c r="E145" s="178" t="n">
        <v>4249</v>
      </c>
      <c r="F145" s="178" t="n">
        <v>4780.3</v>
      </c>
      <c r="G145" s="178" t="n">
        <v>5176.7</v>
      </c>
      <c r="H145" s="178" t="n">
        <v>5575.9</v>
      </c>
      <c r="I145" s="178" t="n">
        <v>5980.4</v>
      </c>
      <c r="J145" s="178" t="n">
        <v>6369.3</v>
      </c>
    </row>
    <row r="146" ht="15.75" customHeight="1" s="169">
      <c r="A146" s="168" t="inlineStr">
        <is>
          <t xml:space="preserve">   Mobility (Vehicle + eMobility)</t>
        </is>
      </c>
      <c r="E146" s="178" t="n">
        <v>3108</v>
      </c>
      <c r="F146" s="178" t="n">
        <v>3174.5</v>
      </c>
      <c r="G146" s="178" t="n">
        <v>3152</v>
      </c>
      <c r="H146" s="178" t="n">
        <v>3294.8</v>
      </c>
      <c r="I146" s="178" t="n">
        <v>3429.3</v>
      </c>
      <c r="J146" s="178" t="n">
        <v>3553.8</v>
      </c>
    </row>
    <row r="147" ht="15.75" customHeight="1" s="169">
      <c r="A147" s="171" t="inlineStr">
        <is>
          <t>Total Revenues</t>
        </is>
      </c>
      <c r="E147" s="238">
        <f>SUM(E143:E146)</f>
        <v/>
      </c>
      <c r="F147" s="238">
        <f>SUM(F143:F146)</f>
        <v/>
      </c>
      <c r="G147" s="238">
        <f>SUM(G143:G146)</f>
        <v/>
      </c>
      <c r="H147" s="238">
        <f>SUM(H143:H146)</f>
        <v/>
      </c>
      <c r="I147" s="238">
        <f>SUM(I143:I146)</f>
        <v/>
      </c>
      <c r="J147" s="238">
        <f>SUM(J143:J146)</f>
        <v/>
      </c>
    </row>
    <row r="148" ht="15.75" customHeight="1" s="169">
      <c r="A148" s="168" t="inlineStr">
        <is>
          <t xml:space="preserve">  growth YoY</t>
        </is>
      </c>
      <c r="F148" s="236">
        <f>(F147-E147)/E147</f>
        <v/>
      </c>
      <c r="G148" s="236">
        <f>(G147-F147)/F147</f>
        <v/>
      </c>
      <c r="H148" s="236">
        <f>(H147-G147)/G147</f>
        <v/>
      </c>
      <c r="I148" s="236">
        <f>(I147-H147)/H147</f>
        <v/>
      </c>
      <c r="J148" s="236">
        <f>(J147-I147)/I147</f>
        <v/>
      </c>
    </row>
    <row r="150" ht="15.75" customHeight="1" s="169">
      <c r="A150" s="207" t="inlineStr">
        <is>
          <t>Street case (pasted values)</t>
        </is>
      </c>
    </row>
    <row r="151" ht="15.75" customHeight="1" s="169">
      <c r="A151" s="168" t="inlineStr">
        <is>
          <t xml:space="preserve">   Electrical Americas</t>
        </is>
      </c>
      <c r="E151" s="178" t="n">
        <v>13275</v>
      </c>
      <c r="F151" s="178" t="n">
        <v>15478.9</v>
      </c>
      <c r="G151" s="178" t="n">
        <v>18309.5</v>
      </c>
      <c r="H151" s="178" t="n">
        <v>19203</v>
      </c>
      <c r="I151" s="178" t="n">
        <v>20331.1</v>
      </c>
      <c r="J151" s="178" t="n">
        <v>21679.2</v>
      </c>
    </row>
    <row r="152" ht="15.75" customHeight="1" s="169">
      <c r="A152" s="168" t="inlineStr">
        <is>
          <t xml:space="preserve">   Electrical Global</t>
        </is>
      </c>
      <c r="E152" s="178" t="n">
        <v>6815</v>
      </c>
      <c r="F152" s="178" t="n">
        <v>9384.200000000001</v>
      </c>
      <c r="G152" s="178" t="n">
        <v>9990</v>
      </c>
      <c r="H152" s="178" t="n">
        <v>10615.4</v>
      </c>
      <c r="I152" s="178" t="n">
        <v>11142.2</v>
      </c>
      <c r="J152" s="178" t="n">
        <v>11603.1</v>
      </c>
    </row>
    <row r="153" ht="15.75" customHeight="1" s="169">
      <c r="A153" s="168" t="inlineStr">
        <is>
          <t xml:space="preserve">   Aerospace</t>
        </is>
      </c>
      <c r="E153" s="178" t="n">
        <v>4249</v>
      </c>
      <c r="F153" s="178" t="n">
        <v>4819.3</v>
      </c>
      <c r="G153" s="178" t="n">
        <v>5267.3</v>
      </c>
      <c r="H153" s="178" t="n">
        <v>5691.3</v>
      </c>
      <c r="I153" s="178" t="n">
        <v>6118.1</v>
      </c>
      <c r="J153" s="178" t="n">
        <v>6520.4</v>
      </c>
    </row>
    <row r="154" ht="15.75" customHeight="1" s="169">
      <c r="A154" s="168" t="inlineStr">
        <is>
          <t xml:space="preserve">   Mobility (Vehicle + eMobility)</t>
        </is>
      </c>
      <c r="E154" s="178" t="n">
        <v>3108</v>
      </c>
      <c r="F154" s="178" t="n">
        <v>3218.9</v>
      </c>
      <c r="G154" s="178" t="n">
        <v>3272.4</v>
      </c>
      <c r="H154" s="178" t="n">
        <v>3455.8</v>
      </c>
      <c r="I154" s="178" t="n">
        <v>3618</v>
      </c>
      <c r="J154" s="178" t="n">
        <v>3771.3</v>
      </c>
    </row>
    <row r="155" ht="15.75" customHeight="1" s="169">
      <c r="A155" s="171" t="inlineStr">
        <is>
          <t>Total Revenues</t>
        </is>
      </c>
      <c r="E155" s="238">
        <f>SUM(E151:E154)</f>
        <v/>
      </c>
      <c r="F155" s="238">
        <f>SUM(F151:F154)</f>
        <v/>
      </c>
      <c r="G155" s="238">
        <f>SUM(G151:G154)</f>
        <v/>
      </c>
      <c r="H155" s="238">
        <f>SUM(H151:H154)</f>
        <v/>
      </c>
      <c r="I155" s="238">
        <f>SUM(I151:I154)</f>
        <v/>
      </c>
      <c r="J155" s="238">
        <f>SUM(J151:J154)</f>
        <v/>
      </c>
    </row>
    <row r="156" ht="15.75" customHeight="1" s="169">
      <c r="A156" s="168" t="inlineStr">
        <is>
          <t xml:space="preserve">  growth YoY</t>
        </is>
      </c>
      <c r="F156" s="236">
        <f>(F155-E155)/E155</f>
        <v/>
      </c>
      <c r="G156" s="236">
        <f>(G155-F155)/F155</f>
        <v/>
      </c>
      <c r="H156" s="236">
        <f>(H155-G155)/G155</f>
        <v/>
      </c>
      <c r="I156" s="236">
        <f>(I155-H155)/H155</f>
        <v/>
      </c>
      <c r="J156" s="236">
        <f>(J155-I155)/I155</f>
        <v/>
      </c>
    </row>
    <row r="158" ht="15.75" customHeight="1" s="169">
      <c r="A158" s="207" t="inlineStr">
        <is>
          <t>Bull case (pasted values)</t>
        </is>
      </c>
    </row>
    <row r="159" ht="15.75" customHeight="1" s="169">
      <c r="A159" s="168" t="inlineStr">
        <is>
          <t xml:space="preserve">   Electrical Americas</t>
        </is>
      </c>
      <c r="E159" s="178" t="n">
        <v>13275</v>
      </c>
      <c r="F159" s="178" t="n">
        <v>16546.1</v>
      </c>
      <c r="G159" s="178" t="n">
        <v>19319.6</v>
      </c>
      <c r="H159" s="178" t="n">
        <v>21729.1</v>
      </c>
      <c r="I159" s="178" t="n">
        <v>23708.3</v>
      </c>
      <c r="J159" s="178" t="n">
        <v>25315.5</v>
      </c>
    </row>
    <row r="160" ht="15.75" customHeight="1" s="169">
      <c r="A160" s="168" t="inlineStr">
        <is>
          <t xml:space="preserve">   Electrical Global</t>
        </is>
      </c>
      <c r="E160" s="178" t="n">
        <v>6815</v>
      </c>
      <c r="F160" s="178" t="n">
        <v>9725.5</v>
      </c>
      <c r="G160" s="178" t="n">
        <v>10731.5</v>
      </c>
      <c r="H160" s="178" t="n">
        <v>11797.4</v>
      </c>
      <c r="I160" s="178" t="n">
        <v>12807.2</v>
      </c>
      <c r="J160" s="178" t="n">
        <v>13731</v>
      </c>
    </row>
    <row r="161" ht="15.75" customHeight="1" s="169">
      <c r="A161" s="168" t="inlineStr">
        <is>
          <t xml:space="preserve">   Aerospace</t>
        </is>
      </c>
      <c r="E161" s="178" t="n">
        <v>4249</v>
      </c>
      <c r="F161" s="178" t="n">
        <v>4928.4</v>
      </c>
      <c r="G161" s="178" t="n">
        <v>5520.3</v>
      </c>
      <c r="H161" s="178" t="n">
        <v>6071.2</v>
      </c>
      <c r="I161" s="178" t="n">
        <v>6599.7</v>
      </c>
      <c r="J161" s="178" t="n">
        <v>7101.6</v>
      </c>
    </row>
    <row r="162" ht="15.75" customHeight="1" s="169">
      <c r="A162" s="168" t="inlineStr">
        <is>
          <t xml:space="preserve">   Mobility (Vehicle + eMobility)</t>
        </is>
      </c>
      <c r="E162" s="178" t="n">
        <v>3108</v>
      </c>
      <c r="F162" s="178" t="n">
        <v>3301.6</v>
      </c>
      <c r="G162" s="178" t="n">
        <v>3472.6</v>
      </c>
      <c r="H162" s="178" t="n">
        <v>3781.4</v>
      </c>
      <c r="I162" s="178" t="n">
        <v>4060.6</v>
      </c>
      <c r="J162" s="178" t="n">
        <v>4343.9</v>
      </c>
    </row>
    <row r="163" ht="15.75" customHeight="1" s="169">
      <c r="A163" s="171" t="inlineStr">
        <is>
          <t>Total Revenues</t>
        </is>
      </c>
      <c r="E163" s="238">
        <f>SUM(E159:E162)</f>
        <v/>
      </c>
      <c r="F163" s="238">
        <f>SUM(F159:F162)</f>
        <v/>
      </c>
      <c r="G163" s="238">
        <f>SUM(G159:G162)</f>
        <v/>
      </c>
      <c r="H163" s="238">
        <f>SUM(H159:H162)</f>
        <v/>
      </c>
      <c r="I163" s="238">
        <f>SUM(I159:I162)</f>
        <v/>
      </c>
      <c r="J163" s="238">
        <f>SUM(J159:J162)</f>
        <v/>
      </c>
    </row>
    <row r="164" ht="15.75" customHeight="1" s="169">
      <c r="A164" s="168" t="inlineStr">
        <is>
          <t xml:space="preserve">  growth YoY</t>
        </is>
      </c>
      <c r="F164" s="236">
        <f>(F163-E163)/E163</f>
        <v/>
      </c>
      <c r="G164" s="236">
        <f>(G163-F163)/F163</f>
        <v/>
      </c>
      <c r="H164" s="236">
        <f>(H163-G163)/G163</f>
        <v/>
      </c>
      <c r="I164" s="236">
        <f>(I163-H163)/H163</f>
        <v/>
      </c>
      <c r="J164" s="236">
        <f>(J163-I163)/I163</f>
        <v/>
      </c>
    </row>
    <row r="166" ht="15.75" customHeight="1" s="169">
      <c r="A166" s="168" t="inlineStr">
        <is>
          <t>Street consensus revenue</t>
        </is>
      </c>
      <c r="F166" s="239" t="n">
        <v>32880</v>
      </c>
      <c r="G166" s="239" t="n">
        <v>36840</v>
      </c>
      <c r="H166" s="239" t="n">
        <v>39000</v>
      </c>
      <c r="I166" s="239" t="n">
        <v>41240</v>
      </c>
      <c r="J166" s="239" t="n">
        <v>43700</v>
      </c>
    </row>
    <row r="167" ht="15.75" customHeight="1" s="169">
      <c r="A167" s="168" t="inlineStr">
        <is>
          <t>Street case vs consensus</t>
        </is>
      </c>
      <c r="F167" s="236">
        <f>F155/F166-1</f>
        <v/>
      </c>
      <c r="G167" s="236">
        <f>G155/G166-1</f>
        <v/>
      </c>
      <c r="H167" s="236">
        <f>H155/H166-1</f>
        <v/>
      </c>
      <c r="I167" s="236">
        <f>I155/I166-1</f>
        <v/>
      </c>
      <c r="J167" s="236">
        <f>J155/J166-1</f>
        <v/>
      </c>
    </row>
    <row r="168" ht="15.75" customHeight="1" s="169">
      <c r="A168" s="168" t="inlineStr">
        <is>
          <t>Base case vs consensus</t>
        </is>
      </c>
      <c r="F168" s="236">
        <f>F147/F166-1</f>
        <v/>
      </c>
      <c r="G168" s="236">
        <f>G147/G166-1</f>
        <v/>
      </c>
      <c r="H168" s="236">
        <f>H147/H166-1</f>
        <v/>
      </c>
      <c r="I168" s="236">
        <f>I147/I166-1</f>
        <v/>
      </c>
      <c r="J168" s="236">
        <f>J147/J166-1</f>
        <v/>
      </c>
    </row>
    <row r="169" ht="15.75" customHeight="1" s="169">
      <c r="A169" s="168" t="inlineStr">
        <is>
          <t>Bull case vs consensus</t>
        </is>
      </c>
      <c r="F169" s="236">
        <f>F163/F166-1</f>
        <v/>
      </c>
      <c r="G169" s="236">
        <f>G163/G166-1</f>
        <v/>
      </c>
      <c r="H169" s="236">
        <f>H163/H166-1</f>
        <v/>
      </c>
      <c r="I169" s="236">
        <f>I163/I166-1</f>
        <v/>
      </c>
      <c r="J169" s="236">
        <f>J163/J166-1</f>
        <v/>
      </c>
    </row>
    <row r="170" ht="15.75" customHeight="1" s="169">
      <c r="A170" s="168" t="inlineStr">
        <is>
          <t xml:space="preserve">  Check: live total ties to row 15</t>
        </is>
      </c>
      <c r="E170" s="178">
        <f>E139-E15</f>
        <v/>
      </c>
      <c r="F170" s="178">
        <f>F139-F15</f>
        <v/>
      </c>
      <c r="G170" s="178">
        <f>G139-G15</f>
        <v/>
      </c>
      <c r="H170" s="178">
        <f>H139-H15</f>
        <v/>
      </c>
      <c r="I170" s="178">
        <f>I139-I15</f>
        <v/>
      </c>
      <c r="J170" s="178">
        <f>J139-J15</f>
        <v/>
      </c>
    </row>
    <row r="173" ht="15.75" customHeight="1" s="169">
      <c r="A173" s="221" t="inlineStr">
        <is>
          <t>Scenario Drivers (Live row feeds the build)</t>
        </is>
      </c>
      <c r="F173" s="176">
        <f>F5</f>
        <v/>
      </c>
      <c r="G173" s="176">
        <f>G5</f>
        <v/>
      </c>
      <c r="H173" s="176">
        <f>H5</f>
        <v/>
      </c>
      <c r="I173" s="176">
        <f>I5</f>
        <v/>
      </c>
      <c r="J173" s="176">
        <f>J5</f>
        <v/>
      </c>
    </row>
    <row r="175" ht="15.75" customHeight="1" s="169">
      <c r="A175" s="171" t="inlineStr">
        <is>
          <t>Data Centre</t>
        </is>
      </c>
    </row>
    <row r="176" ht="15.75" customHeight="1" s="169">
      <c r="A176" s="207" t="inlineStr">
        <is>
          <t>Hyperscaler capex growth, big four</t>
        </is>
      </c>
      <c r="L176" s="168" t="inlineStr">
        <is>
          <t>2026 stays on guidance (row 35). Base = my original path. Street: ~$0.95T in 2027 then fading.</t>
        </is>
      </c>
    </row>
    <row r="177" ht="15.75" customHeight="1" s="169">
      <c r="A177" s="171" t="inlineStr">
        <is>
          <t xml:space="preserve">  Live</t>
        </is>
      </c>
      <c r="G177" s="240">
        <f>CHOOSE($B$2,G178,G179,G180)</f>
        <v/>
      </c>
      <c r="H177" s="240">
        <f>CHOOSE($B$2,H178,H179,H180)</f>
        <v/>
      </c>
      <c r="I177" s="240">
        <f>CHOOSE($B$2,I178,I179,I180)</f>
        <v/>
      </c>
      <c r="J177" s="240">
        <f>CHOOSE($B$2,J178,J179,J180)</f>
        <v/>
      </c>
    </row>
    <row r="178" ht="15.75" customHeight="1" s="169">
      <c r="A178" s="168" t="inlineStr">
        <is>
          <t xml:space="preserve">  Base</t>
        </is>
      </c>
      <c r="G178" s="241" t="n">
        <v>0.3652</v>
      </c>
      <c r="H178" s="241" t="n">
        <v>0.2</v>
      </c>
      <c r="I178" s="241" t="n">
        <v>0.15</v>
      </c>
      <c r="J178" s="241" t="n">
        <v>0.1</v>
      </c>
    </row>
    <row r="179" ht="15.75" customHeight="1" s="169">
      <c r="A179" s="168" t="inlineStr">
        <is>
          <t xml:space="preserve">  Street</t>
        </is>
      </c>
      <c r="G179" s="241" t="n">
        <v>0.28</v>
      </c>
      <c r="H179" s="241" t="n">
        <v>0.1</v>
      </c>
      <c r="I179" s="241" t="n">
        <v>0.06</v>
      </c>
      <c r="J179" s="241" t="n">
        <v>0.04</v>
      </c>
    </row>
    <row r="180" ht="15.75" customHeight="1" s="169">
      <c r="A180" s="168" t="inlineStr">
        <is>
          <t xml:space="preserve">  Bull</t>
        </is>
      </c>
      <c r="G180" s="241" t="n">
        <v>0.45</v>
      </c>
      <c r="H180" s="241" t="n">
        <v>0.25</v>
      </c>
      <c r="I180" s="241" t="n">
        <v>0.15</v>
      </c>
      <c r="J180" s="241" t="n">
        <v>0.1</v>
      </c>
    </row>
    <row r="182" ht="15.75" customHeight="1" s="169">
      <c r="A182" s="171" t="inlineStr">
        <is>
          <t>Electrical Americas</t>
        </is>
      </c>
    </row>
    <row r="183" ht="15.75" customHeight="1" s="169">
      <c r="A183" s="207" t="inlineStr">
        <is>
          <t>Americas revenue recognition % of (backlog + orders)</t>
        </is>
      </c>
      <c r="L183" s="168" t="inlineStr">
        <is>
          <t>Lower % = backlog builds faster than capacity. Bull assumes capacity adds convert backlog faster.</t>
        </is>
      </c>
    </row>
    <row r="184" ht="15.75" customHeight="1" s="169">
      <c r="A184" s="171" t="inlineStr">
        <is>
          <t xml:space="preserve">  Live</t>
        </is>
      </c>
      <c r="F184" s="240">
        <f>CHOOSE($B$2,F185,F186,F187)</f>
        <v/>
      </c>
      <c r="G184" s="240">
        <f>CHOOSE($B$2,G185,G186,G187)</f>
        <v/>
      </c>
      <c r="H184" s="240">
        <f>CHOOSE($B$2,H185,H186,H187)</f>
        <v/>
      </c>
      <c r="I184" s="240">
        <f>CHOOSE($B$2,I185,I186,I187)</f>
        <v/>
      </c>
      <c r="J184" s="240">
        <f>CHOOSE($B$2,J185,J186,J187)</f>
        <v/>
      </c>
    </row>
    <row r="185" ht="15.75" customHeight="1" s="169">
      <c r="A185" s="168" t="inlineStr">
        <is>
          <t xml:space="preserve">  Base</t>
        </is>
      </c>
      <c r="F185" s="241" t="n">
        <v>0.48</v>
      </c>
      <c r="G185" s="241" t="n">
        <v>0.46</v>
      </c>
      <c r="H185" s="241" t="n">
        <v>0.44</v>
      </c>
      <c r="I185" s="241" t="n">
        <v>0.42</v>
      </c>
      <c r="J185" s="241" t="n">
        <v>0.4</v>
      </c>
    </row>
    <row r="186" ht="15.75" customHeight="1" s="169">
      <c r="A186" s="168" t="inlineStr">
        <is>
          <t xml:space="preserve">  Street</t>
        </is>
      </c>
      <c r="F186" s="241" t="n">
        <v>0.47</v>
      </c>
      <c r="G186" s="241" t="n">
        <v>0.47</v>
      </c>
      <c r="H186" s="241" t="n">
        <v>0.445</v>
      </c>
      <c r="I186" s="241" t="n">
        <v>0.43</v>
      </c>
      <c r="J186" s="241" t="n">
        <v>0.425</v>
      </c>
    </row>
    <row r="187" ht="15.75" customHeight="1" s="169">
      <c r="A187" s="168" t="inlineStr">
        <is>
          <t xml:space="preserve">  Bull</t>
        </is>
      </c>
      <c r="F187" s="241" t="n">
        <v>0.5</v>
      </c>
      <c r="G187" s="241" t="n">
        <v>0.49</v>
      </c>
      <c r="H187" s="241" t="n">
        <v>0.48</v>
      </c>
      <c r="I187" s="241" t="n">
        <v>0.47</v>
      </c>
      <c r="J187" s="241" t="n">
        <v>0.46</v>
      </c>
    </row>
    <row r="189" ht="15.75" customHeight="1" s="169">
      <c r="A189" s="207" t="inlineStr">
        <is>
          <t>Americas product pricing</t>
        </is>
      </c>
      <c r="L189" s="168" t="inlineStr">
        <is>
          <t>Price realisation on breakers, panelboards, etc.</t>
        </is>
      </c>
    </row>
    <row r="190" ht="15.75" customHeight="1" s="169">
      <c r="A190" s="171" t="inlineStr">
        <is>
          <t xml:space="preserve">  Live</t>
        </is>
      </c>
      <c r="F190" s="240">
        <f>CHOOSE($B$2,F191,F192,F193)</f>
        <v/>
      </c>
      <c r="G190" s="240">
        <f>CHOOSE($B$2,G191,G192,G193)</f>
        <v/>
      </c>
      <c r="H190" s="240">
        <f>CHOOSE($B$2,H191,H192,H193)</f>
        <v/>
      </c>
      <c r="I190" s="240">
        <f>CHOOSE($B$2,I191,I192,I193)</f>
        <v/>
      </c>
      <c r="J190" s="240">
        <f>CHOOSE($B$2,J191,J192,J193)</f>
        <v/>
      </c>
    </row>
    <row r="191" ht="15.75" customHeight="1" s="169">
      <c r="A191" s="168" t="inlineStr">
        <is>
          <t xml:space="preserve">  Base</t>
        </is>
      </c>
      <c r="F191" s="241" t="n">
        <v>0.03</v>
      </c>
      <c r="G191" s="241" t="n">
        <v>0.025</v>
      </c>
      <c r="H191" s="241" t="n">
        <v>0.025</v>
      </c>
      <c r="I191" s="241" t="n">
        <v>0.025</v>
      </c>
      <c r="J191" s="241" t="n">
        <v>0.025</v>
      </c>
    </row>
    <row r="192" ht="15.75" customHeight="1" s="169">
      <c r="A192" s="168" t="inlineStr">
        <is>
          <t xml:space="preserve">  Street</t>
        </is>
      </c>
      <c r="F192" s="241" t="n">
        <v>0.035</v>
      </c>
      <c r="G192" s="241" t="n">
        <v>0.03</v>
      </c>
      <c r="H192" s="241" t="n">
        <v>0.025</v>
      </c>
      <c r="I192" s="241" t="n">
        <v>0.025</v>
      </c>
      <c r="J192" s="241" t="n">
        <v>0.025</v>
      </c>
    </row>
    <row r="193" ht="15.75" customHeight="1" s="169">
      <c r="A193" s="168" t="inlineStr">
        <is>
          <t xml:space="preserve">  Bull</t>
        </is>
      </c>
      <c r="F193" s="241" t="n">
        <v>0.045</v>
      </c>
      <c r="G193" s="241" t="n">
        <v>0.035</v>
      </c>
      <c r="H193" s="241" t="n">
        <v>0.03</v>
      </c>
      <c r="I193" s="241" t="n">
        <v>0.03</v>
      </c>
      <c r="J193" s="241" t="n">
        <v>0.03</v>
      </c>
    </row>
    <row r="195" ht="15.75" customHeight="1" s="169">
      <c r="A195" s="207" t="inlineStr">
        <is>
          <t>Americas product volume (US non-res construction + utility capex)</t>
        </is>
      </c>
      <c r="L195" s="168" t="inlineStr">
        <is>
          <t>Base = my original order growth less price. Utility T&amp;D capex and non-res spend are the volume drivers.</t>
        </is>
      </c>
    </row>
    <row r="196" ht="15.75" customHeight="1" s="169">
      <c r="A196" s="171" t="inlineStr">
        <is>
          <t xml:space="preserve">  Live</t>
        </is>
      </c>
      <c r="F196" s="240">
        <f>CHOOSE($B$2,F197,F198,F199)</f>
        <v/>
      </c>
      <c r="G196" s="240">
        <f>CHOOSE($B$2,G197,G198,G199)</f>
        <v/>
      </c>
      <c r="H196" s="240">
        <f>CHOOSE($B$2,H197,H198,H199)</f>
        <v/>
      </c>
      <c r="I196" s="240">
        <f>CHOOSE($B$2,I197,I198,I199)</f>
        <v/>
      </c>
      <c r="J196" s="240">
        <f>CHOOSE($B$2,J197,J198,J199)</f>
        <v/>
      </c>
    </row>
    <row r="197" ht="15.75" customHeight="1" s="169">
      <c r="A197" s="168" t="inlineStr">
        <is>
          <t xml:space="preserve">  Base</t>
        </is>
      </c>
      <c r="F197" s="241" t="n">
        <v>0.03</v>
      </c>
      <c r="G197" s="241" t="n">
        <v>0.025</v>
      </c>
      <c r="H197" s="241" t="n">
        <v>0.025</v>
      </c>
      <c r="I197" s="241" t="n">
        <v>0.025</v>
      </c>
      <c r="J197" s="241" t="n">
        <v>0.021</v>
      </c>
    </row>
    <row r="198" ht="15.75" customHeight="1" s="169">
      <c r="A198" s="168" t="inlineStr">
        <is>
          <t xml:space="preserve">  Street</t>
        </is>
      </c>
      <c r="F198" s="241" t="n">
        <v>0.035</v>
      </c>
      <c r="G198" s="241" t="n">
        <v>0.03</v>
      </c>
      <c r="H198" s="241" t="n">
        <v>0.03</v>
      </c>
      <c r="I198" s="241" t="n">
        <v>0.025</v>
      </c>
      <c r="J198" s="241" t="n">
        <v>0.025</v>
      </c>
    </row>
    <row r="199" ht="15.75" customHeight="1" s="169">
      <c r="A199" s="168" t="inlineStr">
        <is>
          <t xml:space="preserve">  Bull</t>
        </is>
      </c>
      <c r="F199" s="241" t="n">
        <v>0.05</v>
      </c>
      <c r="G199" s="241" t="n">
        <v>0.045</v>
      </c>
      <c r="H199" s="241" t="n">
        <v>0.04</v>
      </c>
      <c r="I199" s="241" t="n">
        <v>0.035</v>
      </c>
      <c r="J199" s="241" t="n">
        <v>0.03</v>
      </c>
    </row>
    <row r="201" ht="15.75" customHeight="1" s="169">
      <c r="A201" s="171" t="inlineStr">
        <is>
          <t>Electrical Global</t>
        </is>
      </c>
    </row>
    <row r="202" ht="15.75" customHeight="1" s="169">
      <c r="A202" s="207" t="inlineStr">
        <is>
          <t>Global revenue recognition % of (backlog + orders)</t>
        </is>
      </c>
      <c r="L202" s="168" t="inlineStr">
        <is>
          <t>Short cycle business, converts faster than Americas.</t>
        </is>
      </c>
    </row>
    <row r="203" ht="15.75" customHeight="1" s="169">
      <c r="A203" s="171" t="inlineStr">
        <is>
          <t xml:space="preserve">  Live</t>
        </is>
      </c>
      <c r="F203" s="240">
        <f>CHOOSE($B$2,F204,F205,F206)</f>
        <v/>
      </c>
      <c r="G203" s="240">
        <f>CHOOSE($B$2,G204,G205,G206)</f>
        <v/>
      </c>
      <c r="H203" s="240">
        <f>CHOOSE($B$2,H204,H205,H206)</f>
        <v/>
      </c>
      <c r="I203" s="240">
        <f>CHOOSE($B$2,I204,I205,I206)</f>
        <v/>
      </c>
      <c r="J203" s="240">
        <f>CHOOSE($B$2,J204,J205,J206)</f>
        <v/>
      </c>
    </row>
    <row r="204" ht="15.75" customHeight="1" s="169">
      <c r="A204" s="168" t="inlineStr">
        <is>
          <t xml:space="preserve">  Base</t>
        </is>
      </c>
      <c r="F204" s="241" t="n">
        <v>0.75</v>
      </c>
      <c r="G204" s="241" t="n">
        <v>0.73</v>
      </c>
      <c r="H204" s="241" t="n">
        <v>0.71</v>
      </c>
      <c r="I204" s="241" t="n">
        <v>0.6899999999999999</v>
      </c>
      <c r="J204" s="241" t="n">
        <v>0.68</v>
      </c>
    </row>
    <row r="205" ht="15.75" customHeight="1" s="169">
      <c r="A205" s="168" t="inlineStr">
        <is>
          <t xml:space="preserve">  Street</t>
        </is>
      </c>
      <c r="F205" s="241" t="n">
        <v>0.77</v>
      </c>
      <c r="G205" s="241" t="n">
        <v>0.75</v>
      </c>
      <c r="H205" s="241" t="n">
        <v>0.74</v>
      </c>
      <c r="I205" s="241" t="n">
        <v>0.73</v>
      </c>
      <c r="J205" s="241" t="n">
        <v>0.72</v>
      </c>
    </row>
    <row r="206" ht="15.75" customHeight="1" s="169">
      <c r="A206" s="168" t="inlineStr">
        <is>
          <t xml:space="preserve">  Bull</t>
        </is>
      </c>
      <c r="F206" s="241" t="n">
        <v>0.79</v>
      </c>
      <c r="G206" s="241" t="n">
        <v>0.78</v>
      </c>
      <c r="H206" s="241" t="n">
        <v>0.77</v>
      </c>
      <c r="I206" s="241" t="n">
        <v>0.76</v>
      </c>
      <c r="J206" s="241" t="n">
        <v>0.75</v>
      </c>
    </row>
    <row r="208" ht="15.75" customHeight="1" s="169">
      <c r="A208" s="207" t="inlineStr">
        <is>
          <t>Global systems orders sensitivity to big four capex growth</t>
        </is>
      </c>
      <c r="L208" s="168" t="inlineStr">
        <is>
          <t>2025 implied ~13%. Bull assumes EMEA/APAC data centre builds catch up.</t>
        </is>
      </c>
    </row>
    <row r="209" ht="15.75" customHeight="1" s="169">
      <c r="A209" s="171" t="inlineStr">
        <is>
          <t xml:space="preserve">  Live</t>
        </is>
      </c>
      <c r="F209" s="240">
        <f>CHOOSE($B$2,F210,F211,F212)</f>
        <v/>
      </c>
      <c r="G209" s="240">
        <f>CHOOSE($B$2,G210,G211,G212)</f>
        <v/>
      </c>
      <c r="H209" s="240">
        <f>CHOOSE($B$2,H210,H211,H212)</f>
        <v/>
      </c>
      <c r="I209" s="240">
        <f>CHOOSE($B$2,I210,I211,I212)</f>
        <v/>
      </c>
      <c r="J209" s="240">
        <f>CHOOSE($B$2,J210,J211,J212)</f>
        <v/>
      </c>
    </row>
    <row r="210" ht="15.75" customHeight="1" s="169">
      <c r="A210" s="168" t="inlineStr">
        <is>
          <t xml:space="preserve">  Base</t>
        </is>
      </c>
      <c r="F210" s="241" t="n">
        <v>0.13</v>
      </c>
      <c r="G210" s="241" t="n">
        <v>0.13</v>
      </c>
      <c r="H210" s="241" t="n">
        <v>0.13</v>
      </c>
      <c r="I210" s="241" t="n">
        <v>0.13</v>
      </c>
      <c r="J210" s="241" t="n">
        <v>0.13</v>
      </c>
    </row>
    <row r="211" ht="15.75" customHeight="1" s="169">
      <c r="A211" s="168" t="inlineStr">
        <is>
          <t xml:space="preserve">  Street</t>
        </is>
      </c>
      <c r="F211" s="241" t="n">
        <v>0.15</v>
      </c>
      <c r="G211" s="241" t="n">
        <v>0.15</v>
      </c>
      <c r="H211" s="241" t="n">
        <v>0.15</v>
      </c>
      <c r="I211" s="241" t="n">
        <v>0.15</v>
      </c>
      <c r="J211" s="241" t="n">
        <v>0.15</v>
      </c>
    </row>
    <row r="212" ht="15.75" customHeight="1" s="169">
      <c r="A212" s="168" t="inlineStr">
        <is>
          <t xml:space="preserve">  Bull</t>
        </is>
      </c>
      <c r="F212" s="241" t="n">
        <v>0.2</v>
      </c>
      <c r="G212" s="241" t="n">
        <v>0.2</v>
      </c>
      <c r="H212" s="241" t="n">
        <v>0.2</v>
      </c>
      <c r="I212" s="241" t="n">
        <v>0.2</v>
      </c>
      <c r="J212" s="241" t="n">
        <v>0.2</v>
      </c>
    </row>
    <row r="214" ht="15.75" customHeight="1" s="169">
      <c r="A214" s="207" t="inlineStr">
        <is>
          <t>Global product pricing</t>
        </is>
      </c>
    </row>
    <row r="215" ht="15.75" customHeight="1" s="169">
      <c r="A215" s="171" t="inlineStr">
        <is>
          <t xml:space="preserve">  Live</t>
        </is>
      </c>
      <c r="F215" s="240">
        <f>CHOOSE($B$2,F216,F217,F218)</f>
        <v/>
      </c>
      <c r="G215" s="240">
        <f>CHOOSE($B$2,G216,G217,G218)</f>
        <v/>
      </c>
      <c r="H215" s="240">
        <f>CHOOSE($B$2,H216,H217,H218)</f>
        <v/>
      </c>
      <c r="I215" s="240">
        <f>CHOOSE($B$2,I216,I217,I218)</f>
        <v/>
      </c>
      <c r="J215" s="240">
        <f>CHOOSE($B$2,J216,J217,J218)</f>
        <v/>
      </c>
    </row>
    <row r="216" ht="15.75" customHeight="1" s="169">
      <c r="A216" s="168" t="inlineStr">
        <is>
          <t xml:space="preserve">  Base</t>
        </is>
      </c>
      <c r="F216" s="241" t="n">
        <v>0.03</v>
      </c>
      <c r="G216" s="241" t="n">
        <v>0.025</v>
      </c>
      <c r="H216" s="241" t="n">
        <v>0.02</v>
      </c>
      <c r="I216" s="241" t="n">
        <v>0.02</v>
      </c>
      <c r="J216" s="241" t="n">
        <v>0.02</v>
      </c>
    </row>
    <row r="217" ht="15.75" customHeight="1" s="169">
      <c r="A217" s="168" t="inlineStr">
        <is>
          <t xml:space="preserve">  Street</t>
        </is>
      </c>
      <c r="F217" s="241" t="n">
        <v>0.035</v>
      </c>
      <c r="G217" s="241" t="n">
        <v>0.03</v>
      </c>
      <c r="H217" s="241" t="n">
        <v>0.025</v>
      </c>
      <c r="I217" s="241" t="n">
        <v>0.025</v>
      </c>
      <c r="J217" s="241" t="n">
        <v>0.025</v>
      </c>
    </row>
    <row r="218" ht="15.75" customHeight="1" s="169">
      <c r="A218" s="168" t="inlineStr">
        <is>
          <t xml:space="preserve">  Bull</t>
        </is>
      </c>
      <c r="F218" s="241" t="n">
        <v>0.04</v>
      </c>
      <c r="G218" s="241" t="n">
        <v>0.035</v>
      </c>
      <c r="H218" s="241" t="n">
        <v>0.03</v>
      </c>
      <c r="I218" s="241" t="n">
        <v>0.03</v>
      </c>
      <c r="J218" s="241" t="n">
        <v>0.03</v>
      </c>
    </row>
    <row r="220" ht="15.75" customHeight="1" s="169">
      <c r="A220" s="207" t="inlineStr">
        <is>
          <t>Global product volume (Europe + China industrial production)</t>
        </is>
      </c>
      <c r="L220" s="168" t="inlineStr">
        <is>
          <t>Eurozone and China IP growth, low single digits.</t>
        </is>
      </c>
    </row>
    <row r="221" ht="15.75" customHeight="1" s="169">
      <c r="A221" s="171" t="inlineStr">
        <is>
          <t xml:space="preserve">  Live</t>
        </is>
      </c>
      <c r="F221" s="240">
        <f>CHOOSE($B$2,F222,F223,F224)</f>
        <v/>
      </c>
      <c r="G221" s="240">
        <f>CHOOSE($B$2,G222,G223,G224)</f>
        <v/>
      </c>
      <c r="H221" s="240">
        <f>CHOOSE($B$2,H222,H223,H224)</f>
        <v/>
      </c>
      <c r="I221" s="240">
        <f>CHOOSE($B$2,I222,I223,I224)</f>
        <v/>
      </c>
      <c r="J221" s="240">
        <f>CHOOSE($B$2,J222,J223,J224)</f>
        <v/>
      </c>
    </row>
    <row r="222" ht="15.75" customHeight="1" s="169">
      <c r="A222" s="168" t="inlineStr">
        <is>
          <t xml:space="preserve">  Base</t>
        </is>
      </c>
      <c r="F222" s="241" t="n">
        <v>0.04</v>
      </c>
      <c r="G222" s="241" t="n">
        <v>0.025</v>
      </c>
      <c r="H222" s="241" t="n">
        <v>0.02</v>
      </c>
      <c r="I222" s="241" t="n">
        <v>0.039</v>
      </c>
      <c r="J222" s="241" t="n">
        <v>0.02</v>
      </c>
    </row>
    <row r="223" ht="15.75" customHeight="1" s="169">
      <c r="A223" s="168" t="inlineStr">
        <is>
          <t xml:space="preserve">  Street</t>
        </is>
      </c>
      <c r="F223" s="241" t="n">
        <v>0.04</v>
      </c>
      <c r="G223" s="241" t="n">
        <v>0.03</v>
      </c>
      <c r="H223" s="241" t="n">
        <v>0.025</v>
      </c>
      <c r="I223" s="241" t="n">
        <v>0.025</v>
      </c>
      <c r="J223" s="241" t="n">
        <v>0.02</v>
      </c>
    </row>
    <row r="224" ht="15.75" customHeight="1" s="169">
      <c r="A224" s="168" t="inlineStr">
        <is>
          <t xml:space="preserve">  Bull</t>
        </is>
      </c>
      <c r="F224" s="241" t="n">
        <v>0.05</v>
      </c>
      <c r="G224" s="241" t="n">
        <v>0.04</v>
      </c>
      <c r="H224" s="241" t="n">
        <v>0.035</v>
      </c>
      <c r="I224" s="241" t="n">
        <v>0.03</v>
      </c>
      <c r="J224" s="241" t="n">
        <v>0.03</v>
      </c>
    </row>
    <row r="226" ht="15.75" customHeight="1" s="169">
      <c r="A226" s="207" t="inlineStr">
        <is>
          <t>Boyd Thermal revenue growth (liquid cooling)</t>
        </is>
      </c>
      <c r="L226" s="168" t="inlineStr">
        <is>
          <t>2026 on Eaton's raised $1.8B outlook (Q2-26 call). Liquid cooling market growing 20%+.</t>
        </is>
      </c>
    </row>
    <row r="227" ht="15.75" customHeight="1" s="169">
      <c r="A227" s="171" t="inlineStr">
        <is>
          <t xml:space="preserve">  Live</t>
        </is>
      </c>
      <c r="G227" s="240">
        <f>CHOOSE($B$2,G228,G229,G230)</f>
        <v/>
      </c>
      <c r="H227" s="240">
        <f>CHOOSE($B$2,H228,H229,H230)</f>
        <v/>
      </c>
      <c r="I227" s="240">
        <f>CHOOSE($B$2,I228,I229,I230)</f>
        <v/>
      </c>
      <c r="J227" s="240">
        <f>CHOOSE($B$2,J228,J229,J230)</f>
        <v/>
      </c>
    </row>
    <row r="228" ht="15.75" customHeight="1" s="169">
      <c r="A228" s="168" t="inlineStr">
        <is>
          <t xml:space="preserve">  Base</t>
        </is>
      </c>
      <c r="G228" s="241" t="n">
        <v>0.2</v>
      </c>
      <c r="H228" s="241" t="n">
        <v>0.15</v>
      </c>
      <c r="I228" s="241" t="n">
        <v>0.12</v>
      </c>
      <c r="J228" s="241" t="n">
        <v>0.1</v>
      </c>
    </row>
    <row r="229" ht="15.75" customHeight="1" s="169">
      <c r="A229" s="168" t="inlineStr">
        <is>
          <t xml:space="preserve">  Street</t>
        </is>
      </c>
      <c r="G229" s="241" t="n">
        <v>0.18</v>
      </c>
      <c r="H229" s="241" t="n">
        <v>0.12</v>
      </c>
      <c r="I229" s="241" t="n">
        <v>0.1</v>
      </c>
      <c r="J229" s="241" t="n">
        <v>0.08</v>
      </c>
    </row>
    <row r="230" ht="15.75" customHeight="1" s="169">
      <c r="A230" s="168" t="inlineStr">
        <is>
          <t xml:space="preserve">  Bull</t>
        </is>
      </c>
      <c r="G230" s="241" t="n">
        <v>0.3</v>
      </c>
      <c r="H230" s="241" t="n">
        <v>0.25</v>
      </c>
      <c r="I230" s="241" t="n">
        <v>0.2</v>
      </c>
      <c r="J230" s="241" t="n">
        <v>0.15</v>
      </c>
    </row>
    <row r="232" ht="15.75" customHeight="1" s="169">
      <c r="A232" s="171" t="inlineStr">
        <is>
          <t>Aerospace</t>
        </is>
      </c>
    </row>
    <row r="233" ht="15.75" customHeight="1" s="169">
      <c r="A233" s="207" t="inlineStr">
        <is>
          <t>Boeing commercial deliveries (units)</t>
        </is>
      </c>
      <c r="L233" s="168" t="inlineStr">
        <is>
          <t>2026 guide ~590-600+, 737 to 47/mo then 52/mo by 2027, 787 ramp.</t>
        </is>
      </c>
    </row>
    <row r="234" ht="15.75" customHeight="1" s="169">
      <c r="A234" s="171" t="inlineStr">
        <is>
          <t xml:space="preserve">  Live</t>
        </is>
      </c>
      <c r="F234" s="242">
        <f>CHOOSE($B$2,F235,F236,F237)</f>
        <v/>
      </c>
      <c r="G234" s="242">
        <f>CHOOSE($B$2,G235,G236,G237)</f>
        <v/>
      </c>
      <c r="H234" s="242">
        <f>CHOOSE($B$2,H235,H236,H237)</f>
        <v/>
      </c>
      <c r="I234" s="242">
        <f>CHOOSE($B$2,I235,I236,I237)</f>
        <v/>
      </c>
      <c r="J234" s="242">
        <f>CHOOSE($B$2,J235,J236,J237)</f>
        <v/>
      </c>
    </row>
    <row r="235" ht="15.75" customHeight="1" s="169">
      <c r="A235" s="168" t="inlineStr">
        <is>
          <t xml:space="preserve">  Base</t>
        </is>
      </c>
      <c r="F235" s="243" t="n">
        <v>600</v>
      </c>
      <c r="G235" s="243" t="n">
        <v>660</v>
      </c>
      <c r="H235" s="243" t="n">
        <v>720</v>
      </c>
      <c r="I235" s="243" t="n">
        <v>770</v>
      </c>
      <c r="J235" s="243" t="n">
        <v>810</v>
      </c>
    </row>
    <row r="236" ht="15.75" customHeight="1" s="169">
      <c r="A236" s="168" t="inlineStr">
        <is>
          <t xml:space="preserve">  Street</t>
        </is>
      </c>
      <c r="F236" s="243" t="n">
        <v>610</v>
      </c>
      <c r="G236" s="243" t="n">
        <v>690</v>
      </c>
      <c r="H236" s="243" t="n">
        <v>760</v>
      </c>
      <c r="I236" s="243" t="n">
        <v>810</v>
      </c>
      <c r="J236" s="243" t="n">
        <v>850</v>
      </c>
    </row>
    <row r="237" ht="15.75" customHeight="1" s="169">
      <c r="A237" s="168" t="inlineStr">
        <is>
          <t xml:space="preserve">  Bull</t>
        </is>
      </c>
      <c r="F237" s="243" t="n">
        <v>630</v>
      </c>
      <c r="G237" s="243" t="n">
        <v>730</v>
      </c>
      <c r="H237" s="243" t="n">
        <v>810</v>
      </c>
      <c r="I237" s="243" t="n">
        <v>870</v>
      </c>
      <c r="J237" s="243" t="n">
        <v>900</v>
      </c>
    </row>
    <row r="239" ht="15.75" customHeight="1" s="169">
      <c r="A239" s="207" t="inlineStr">
        <is>
          <t>Airbus commercial deliveries (units)</t>
        </is>
      </c>
      <c r="L239" s="168" t="inlineStr">
        <is>
          <t>2026 guide ~870 (Feb-26). A320 rate 75 target.</t>
        </is>
      </c>
    </row>
    <row r="240" ht="15.75" customHeight="1" s="169">
      <c r="A240" s="171" t="inlineStr">
        <is>
          <t xml:space="preserve">  Live</t>
        </is>
      </c>
      <c r="F240" s="242">
        <f>CHOOSE($B$2,F241,F242,F243)</f>
        <v/>
      </c>
      <c r="G240" s="242">
        <f>CHOOSE($B$2,G241,G242,G243)</f>
        <v/>
      </c>
      <c r="H240" s="242">
        <f>CHOOSE($B$2,H241,H242,H243)</f>
        <v/>
      </c>
      <c r="I240" s="242">
        <f>CHOOSE($B$2,I241,I242,I243)</f>
        <v/>
      </c>
      <c r="J240" s="242">
        <f>CHOOSE($B$2,J241,J242,J243)</f>
        <v/>
      </c>
    </row>
    <row r="241" ht="15.75" customHeight="1" s="169">
      <c r="A241" s="168" t="inlineStr">
        <is>
          <t xml:space="preserve">  Base</t>
        </is>
      </c>
      <c r="F241" s="243" t="n">
        <v>860</v>
      </c>
      <c r="G241" s="243" t="n">
        <v>920</v>
      </c>
      <c r="H241" s="243" t="n">
        <v>970</v>
      </c>
      <c r="I241" s="243" t="n">
        <v>1010</v>
      </c>
      <c r="J241" s="243" t="n">
        <v>1040</v>
      </c>
    </row>
    <row r="242" ht="15.75" customHeight="1" s="169">
      <c r="A242" s="168" t="inlineStr">
        <is>
          <t xml:space="preserve">  Street</t>
        </is>
      </c>
      <c r="F242" s="243" t="n">
        <v>870</v>
      </c>
      <c r="G242" s="243" t="n">
        <v>940</v>
      </c>
      <c r="H242" s="243" t="n">
        <v>1000</v>
      </c>
      <c r="I242" s="243" t="n">
        <v>1050</v>
      </c>
      <c r="J242" s="243" t="n">
        <v>1080</v>
      </c>
    </row>
    <row r="243" ht="15.75" customHeight="1" s="169">
      <c r="A243" s="168" t="inlineStr">
        <is>
          <t xml:space="preserve">  Bull</t>
        </is>
      </c>
      <c r="F243" s="243" t="n">
        <v>880</v>
      </c>
      <c r="G243" s="243" t="n">
        <v>970</v>
      </c>
      <c r="H243" s="243" t="n">
        <v>1040</v>
      </c>
      <c r="I243" s="243" t="n">
        <v>1090</v>
      </c>
      <c r="J243" s="243" t="n">
        <v>1120</v>
      </c>
    </row>
    <row r="245" ht="15.75" customHeight="1" s="169">
      <c r="A245" s="207" t="inlineStr">
        <is>
          <t>Defense spending growth (US DoD procurement + R&amp;D)</t>
        </is>
      </c>
      <c r="L245" s="168" t="inlineStr">
        <is>
          <t>Drives defense OEM and Industrial &amp; other.</t>
        </is>
      </c>
    </row>
    <row r="246" ht="15.75" customHeight="1" s="169">
      <c r="A246" s="171" t="inlineStr">
        <is>
          <t xml:space="preserve">  Live</t>
        </is>
      </c>
      <c r="F246" s="240">
        <f>CHOOSE($B$2,F247,F248,F249)</f>
        <v/>
      </c>
      <c r="G246" s="240">
        <f>CHOOSE($B$2,G247,G248,G249)</f>
        <v/>
      </c>
      <c r="H246" s="240">
        <f>CHOOSE($B$2,H247,H248,H249)</f>
        <v/>
      </c>
      <c r="I246" s="240">
        <f>CHOOSE($B$2,I247,I248,I249)</f>
        <v/>
      </c>
      <c r="J246" s="240">
        <f>CHOOSE($B$2,J247,J248,J249)</f>
        <v/>
      </c>
    </row>
    <row r="247" ht="15.75" customHeight="1" s="169">
      <c r="A247" s="168" t="inlineStr">
        <is>
          <t xml:space="preserve">  Base</t>
        </is>
      </c>
      <c r="F247" s="241" t="n">
        <v>0.05</v>
      </c>
      <c r="G247" s="241" t="n">
        <v>0.05</v>
      </c>
      <c r="H247" s="241" t="n">
        <v>0.04</v>
      </c>
      <c r="I247" s="241" t="n">
        <v>0.04</v>
      </c>
      <c r="J247" s="241" t="n">
        <v>0.03</v>
      </c>
    </row>
    <row r="248" ht="15.75" customHeight="1" s="169">
      <c r="A248" s="168" t="inlineStr">
        <is>
          <t xml:space="preserve">  Street</t>
        </is>
      </c>
      <c r="F248" s="241" t="n">
        <v>0.06</v>
      </c>
      <c r="G248" s="241" t="n">
        <v>0.05</v>
      </c>
      <c r="H248" s="241" t="n">
        <v>0.04</v>
      </c>
      <c r="I248" s="241" t="n">
        <v>0.04</v>
      </c>
      <c r="J248" s="241" t="n">
        <v>0.03</v>
      </c>
    </row>
    <row r="249" ht="15.75" customHeight="1" s="169">
      <c r="A249" s="168" t="inlineStr">
        <is>
          <t xml:space="preserve">  Bull</t>
        </is>
      </c>
      <c r="F249" s="241" t="n">
        <v>0.08</v>
      </c>
      <c r="G249" s="241" t="n">
        <v>0.07000000000000001</v>
      </c>
      <c r="H249" s="241" t="n">
        <v>0.06</v>
      </c>
      <c r="I249" s="241" t="n">
        <v>0.05</v>
      </c>
      <c r="J249" s="241" t="n">
        <v>0.04</v>
      </c>
    </row>
    <row r="251" ht="15.75" customHeight="1" s="169">
      <c r="A251" s="207" t="inlineStr">
        <is>
          <t>Aerospace OEM pricing</t>
        </is>
      </c>
    </row>
    <row r="252" ht="15.75" customHeight="1" s="169">
      <c r="A252" s="171" t="inlineStr">
        <is>
          <t xml:space="preserve">  Live</t>
        </is>
      </c>
      <c r="F252" s="240">
        <f>CHOOSE($B$2,F253,F254,F255)</f>
        <v/>
      </c>
      <c r="G252" s="240">
        <f>CHOOSE($B$2,G253,G254,G255)</f>
        <v/>
      </c>
      <c r="H252" s="240">
        <f>CHOOSE($B$2,H253,H254,H255)</f>
        <v/>
      </c>
      <c r="I252" s="240">
        <f>CHOOSE($B$2,I253,I254,I255)</f>
        <v/>
      </c>
      <c r="J252" s="240">
        <f>CHOOSE($B$2,J253,J254,J255)</f>
        <v/>
      </c>
    </row>
    <row r="253" ht="15.75" customHeight="1" s="169">
      <c r="A253" s="168" t="inlineStr">
        <is>
          <t xml:space="preserve">  Base</t>
        </is>
      </c>
      <c r="F253" s="241" t="n">
        <v>0.03</v>
      </c>
      <c r="G253" s="241" t="n">
        <v>0.03</v>
      </c>
      <c r="H253" s="241" t="n">
        <v>0.03</v>
      </c>
      <c r="I253" s="241" t="n">
        <v>0.03</v>
      </c>
      <c r="J253" s="241" t="n">
        <v>0.03</v>
      </c>
    </row>
    <row r="254" ht="15.75" customHeight="1" s="169">
      <c r="A254" s="168" t="inlineStr">
        <is>
          <t xml:space="preserve">  Street</t>
        </is>
      </c>
      <c r="F254" s="241" t="n">
        <v>0.03</v>
      </c>
      <c r="G254" s="241" t="n">
        <v>0.03</v>
      </c>
      <c r="H254" s="241" t="n">
        <v>0.03</v>
      </c>
      <c r="I254" s="241" t="n">
        <v>0.03</v>
      </c>
      <c r="J254" s="241" t="n">
        <v>0.03</v>
      </c>
    </row>
    <row r="255" ht="15.75" customHeight="1" s="169">
      <c r="A255" s="168" t="inlineStr">
        <is>
          <t xml:space="preserve">  Bull</t>
        </is>
      </c>
      <c r="F255" s="241" t="n">
        <v>0.04</v>
      </c>
      <c r="G255" s="241" t="n">
        <v>0.04</v>
      </c>
      <c r="H255" s="241" t="n">
        <v>0.035</v>
      </c>
      <c r="I255" s="241" t="n">
        <v>0.035</v>
      </c>
      <c r="J255" s="241" t="n">
        <v>0.035</v>
      </c>
    </row>
    <row r="257" ht="15.75" customHeight="1" s="169">
      <c r="A257" s="207" t="inlineStr">
        <is>
          <t>Global air traffic growth (RPK)</t>
        </is>
      </c>
      <c r="L257" s="168" t="inlineStr">
        <is>
          <t>IATA Jun-26: 2.1% for 2026 (Middle East conflict, fuel). Aftermarket follows flying hours.</t>
        </is>
      </c>
    </row>
    <row r="258" ht="15.75" customHeight="1" s="169">
      <c r="A258" s="171" t="inlineStr">
        <is>
          <t xml:space="preserve">  Live</t>
        </is>
      </c>
      <c r="F258" s="240">
        <f>CHOOSE($B$2,F259,F260,F261)</f>
        <v/>
      </c>
      <c r="G258" s="240">
        <f>CHOOSE($B$2,G259,G260,G261)</f>
        <v/>
      </c>
      <c r="H258" s="240">
        <f>CHOOSE($B$2,H259,H260,H261)</f>
        <v/>
      </c>
      <c r="I258" s="240">
        <f>CHOOSE($B$2,I259,I260,I261)</f>
        <v/>
      </c>
      <c r="J258" s="240">
        <f>CHOOSE($B$2,J259,J260,J261)</f>
        <v/>
      </c>
    </row>
    <row r="259" ht="15.75" customHeight="1" s="169">
      <c r="A259" s="168" t="inlineStr">
        <is>
          <t xml:space="preserve">  Base</t>
        </is>
      </c>
      <c r="F259" s="241" t="n">
        <v>0.021</v>
      </c>
      <c r="G259" s="241" t="n">
        <v>0.035</v>
      </c>
      <c r="H259" s="241" t="n">
        <v>0.038</v>
      </c>
      <c r="I259" s="241" t="n">
        <v>0.036</v>
      </c>
      <c r="J259" s="241" t="n">
        <v>0.035</v>
      </c>
    </row>
    <row r="260" ht="15.75" customHeight="1" s="169">
      <c r="A260" s="168" t="inlineStr">
        <is>
          <t xml:space="preserve">  Street</t>
        </is>
      </c>
      <c r="F260" s="241" t="n">
        <v>0.021</v>
      </c>
      <c r="G260" s="241" t="n">
        <v>0.045</v>
      </c>
      <c r="H260" s="241" t="n">
        <v>0.04</v>
      </c>
      <c r="I260" s="241" t="n">
        <v>0.04</v>
      </c>
      <c r="J260" s="241" t="n">
        <v>0.038</v>
      </c>
    </row>
    <row r="261" ht="15.75" customHeight="1" s="169">
      <c r="A261" s="168" t="inlineStr">
        <is>
          <t xml:space="preserve">  Bull</t>
        </is>
      </c>
      <c r="F261" s="241" t="n">
        <v>0.03</v>
      </c>
      <c r="G261" s="241" t="n">
        <v>0.055</v>
      </c>
      <c r="H261" s="241" t="n">
        <v>0.05</v>
      </c>
      <c r="I261" s="241" t="n">
        <v>0.045</v>
      </c>
      <c r="J261" s="241" t="n">
        <v>0.045</v>
      </c>
    </row>
    <row r="263" ht="15.75" customHeight="1" s="169">
      <c r="A263" s="207" t="inlineStr">
        <is>
          <t>Aftermarket pricing</t>
        </is>
      </c>
      <c r="L263" s="168" t="inlineStr">
        <is>
          <t>Spare parts pricing runs well above OEM pricing.</t>
        </is>
      </c>
    </row>
    <row r="264" ht="15.75" customHeight="1" s="169">
      <c r="A264" s="171" t="inlineStr">
        <is>
          <t xml:space="preserve">  Live</t>
        </is>
      </c>
      <c r="F264" s="240">
        <f>CHOOSE($B$2,F265,F266,F267)</f>
        <v/>
      </c>
      <c r="G264" s="240">
        <f>CHOOSE($B$2,G265,G266,G267)</f>
        <v/>
      </c>
      <c r="H264" s="240">
        <f>CHOOSE($B$2,H265,H266,H267)</f>
        <v/>
      </c>
      <c r="I264" s="240">
        <f>CHOOSE($B$2,I265,I266,I267)</f>
        <v/>
      </c>
      <c r="J264" s="240">
        <f>CHOOSE($B$2,J265,J266,J267)</f>
        <v/>
      </c>
    </row>
    <row r="265" ht="15.75" customHeight="1" s="169">
      <c r="A265" s="168" t="inlineStr">
        <is>
          <t xml:space="preserve">  Base</t>
        </is>
      </c>
      <c r="F265" s="241" t="n">
        <v>0.05</v>
      </c>
      <c r="G265" s="241" t="n">
        <v>0.05</v>
      </c>
      <c r="H265" s="241" t="n">
        <v>0.05</v>
      </c>
      <c r="I265" s="241" t="n">
        <v>0.05</v>
      </c>
      <c r="J265" s="241" t="n">
        <v>0.05</v>
      </c>
    </row>
    <row r="266" ht="15.75" customHeight="1" s="169">
      <c r="A266" s="168" t="inlineStr">
        <is>
          <t xml:space="preserve">  Street</t>
        </is>
      </c>
      <c r="F266" s="241" t="n">
        <v>0.055</v>
      </c>
      <c r="G266" s="241" t="n">
        <v>0.055</v>
      </c>
      <c r="H266" s="241" t="n">
        <v>0.05</v>
      </c>
      <c r="I266" s="241" t="n">
        <v>0.05</v>
      </c>
      <c r="J266" s="241" t="n">
        <v>0.05</v>
      </c>
    </row>
    <row r="267" ht="15.75" customHeight="1" s="169">
      <c r="A267" s="168" t="inlineStr">
        <is>
          <t xml:space="preserve">  Bull</t>
        </is>
      </c>
      <c r="F267" s="241" t="n">
        <v>0.07000000000000001</v>
      </c>
      <c r="G267" s="241" t="n">
        <v>0.07000000000000001</v>
      </c>
      <c r="H267" s="241" t="n">
        <v>0.06</v>
      </c>
      <c r="I267" s="241" t="n">
        <v>0.06</v>
      </c>
      <c r="J267" s="241" t="n">
        <v>0.06</v>
      </c>
    </row>
    <row r="269" ht="15.75" customHeight="1" s="169">
      <c r="A269" s="171" t="inlineStr">
        <is>
          <t>Mobility</t>
        </is>
      </c>
    </row>
    <row r="270" ht="15.75" customHeight="1" s="169">
      <c r="A270" s="207" t="inlineStr">
        <is>
          <t>NA Class 8 truck production growth</t>
        </is>
      </c>
      <c r="L270" s="168" t="inlineStr">
        <is>
          <t>Softer 2027 after strong 2026 builds (Mobility Global / FTR, Aug-26).</t>
        </is>
      </c>
    </row>
    <row r="271" ht="15.75" customHeight="1" s="169">
      <c r="A271" s="171" t="inlineStr">
        <is>
          <t xml:space="preserve">  Live</t>
        </is>
      </c>
      <c r="F271" s="240">
        <f>CHOOSE($B$2,F272,F273,F274)</f>
        <v/>
      </c>
      <c r="G271" s="240">
        <f>CHOOSE($B$2,G272,G273,G274)</f>
        <v/>
      </c>
      <c r="H271" s="240">
        <f>CHOOSE($B$2,H272,H273,H274)</f>
        <v/>
      </c>
      <c r="I271" s="240">
        <f>CHOOSE($B$2,I272,I273,I274)</f>
        <v/>
      </c>
      <c r="J271" s="240">
        <f>CHOOSE($B$2,J272,J273,J274)</f>
        <v/>
      </c>
    </row>
    <row r="272" ht="15.75" customHeight="1" s="169">
      <c r="A272" s="168" t="inlineStr">
        <is>
          <t xml:space="preserve">  Base</t>
        </is>
      </c>
      <c r="F272" s="241" t="n">
        <v>0.02</v>
      </c>
      <c r="G272" s="241" t="n">
        <v>-0.06</v>
      </c>
      <c r="H272" s="241" t="n">
        <v>0.04</v>
      </c>
      <c r="I272" s="241" t="n">
        <v>0.03</v>
      </c>
      <c r="J272" s="241" t="n">
        <v>0.02</v>
      </c>
    </row>
    <row r="273" ht="15.75" customHeight="1" s="169">
      <c r="A273" s="168" t="inlineStr">
        <is>
          <t xml:space="preserve">  Street</t>
        </is>
      </c>
      <c r="F273" s="241" t="n">
        <v>0.03</v>
      </c>
      <c r="G273" s="241" t="n">
        <v>-0.03</v>
      </c>
      <c r="H273" s="241" t="n">
        <v>0.05</v>
      </c>
      <c r="I273" s="241" t="n">
        <v>0.03</v>
      </c>
      <c r="J273" s="241" t="n">
        <v>0.02</v>
      </c>
    </row>
    <row r="274" ht="15.75" customHeight="1" s="169">
      <c r="A274" s="168" t="inlineStr">
        <is>
          <t xml:space="preserve">  Bull</t>
        </is>
      </c>
      <c r="F274" s="241" t="n">
        <v>0.05</v>
      </c>
      <c r="G274" s="241" t="n">
        <v>0</v>
      </c>
      <c r="H274" s="241" t="n">
        <v>0.07000000000000001</v>
      </c>
      <c r="I274" s="241" t="n">
        <v>0.04</v>
      </c>
      <c r="J274" s="241" t="n">
        <v>0.03</v>
      </c>
    </row>
    <row r="276" ht="15.75" customHeight="1" s="169">
      <c r="A276" s="207" t="inlineStr">
        <is>
          <t>Global light vehicle production growth</t>
        </is>
      </c>
      <c r="L276" s="168" t="inlineStr">
        <is>
          <t>S&amp;P Global Mobility, roughly flat to +1-2%.</t>
        </is>
      </c>
    </row>
    <row r="277" ht="15.75" customHeight="1" s="169">
      <c r="A277" s="171" t="inlineStr">
        <is>
          <t xml:space="preserve">  Live</t>
        </is>
      </c>
      <c r="F277" s="240">
        <f>CHOOSE($B$2,F278,F279,F280)</f>
        <v/>
      </c>
      <c r="G277" s="240">
        <f>CHOOSE($B$2,G278,G279,G280)</f>
        <v/>
      </c>
      <c r="H277" s="240">
        <f>CHOOSE($B$2,H278,H279,H280)</f>
        <v/>
      </c>
      <c r="I277" s="240">
        <f>CHOOSE($B$2,I278,I279,I280)</f>
        <v/>
      </c>
      <c r="J277" s="240">
        <f>CHOOSE($B$2,J278,J279,J280)</f>
        <v/>
      </c>
    </row>
    <row r="278" ht="15.75" customHeight="1" s="169">
      <c r="A278" s="168" t="inlineStr">
        <is>
          <t xml:space="preserve">  Base</t>
        </is>
      </c>
      <c r="F278" s="241" t="n">
        <v>0</v>
      </c>
      <c r="G278" s="241" t="n">
        <v>0.01</v>
      </c>
      <c r="H278" s="241" t="n">
        <v>0.015</v>
      </c>
      <c r="I278" s="241" t="n">
        <v>0.015</v>
      </c>
      <c r="J278" s="241" t="n">
        <v>0.015</v>
      </c>
    </row>
    <row r="279" ht="15.75" customHeight="1" s="169">
      <c r="A279" s="168" t="inlineStr">
        <is>
          <t xml:space="preserve">  Street</t>
        </is>
      </c>
      <c r="F279" s="241" t="n">
        <v>0.005</v>
      </c>
      <c r="G279" s="241" t="n">
        <v>0.015</v>
      </c>
      <c r="H279" s="241" t="n">
        <v>0.015</v>
      </c>
      <c r="I279" s="241" t="n">
        <v>0.015</v>
      </c>
      <c r="J279" s="241" t="n">
        <v>0.015</v>
      </c>
    </row>
    <row r="280" ht="15.75" customHeight="1" s="169">
      <c r="A280" s="168" t="inlineStr">
        <is>
          <t xml:space="preserve">  Bull</t>
        </is>
      </c>
      <c r="F280" s="241" t="n">
        <v>0.015</v>
      </c>
      <c r="G280" s="241" t="n">
        <v>0.025</v>
      </c>
      <c r="H280" s="241" t="n">
        <v>0.025</v>
      </c>
      <c r="I280" s="241" t="n">
        <v>0.02</v>
      </c>
      <c r="J280" s="241" t="n">
        <v>0.02</v>
      </c>
    </row>
    <row r="282" ht="15.75" customHeight="1" s="169">
      <c r="A282" s="207" t="inlineStr">
        <is>
          <t>Content / price gain per vehicle</t>
        </is>
      </c>
    </row>
    <row r="283" ht="15.75" customHeight="1" s="169">
      <c r="A283" s="171" t="inlineStr">
        <is>
          <t xml:space="preserve">  Live</t>
        </is>
      </c>
      <c r="F283" s="240">
        <f>CHOOSE($B$2,F284,F285,F286)</f>
        <v/>
      </c>
      <c r="G283" s="240">
        <f>CHOOSE($B$2,G284,G285,G286)</f>
        <v/>
      </c>
      <c r="H283" s="240">
        <f>CHOOSE($B$2,H284,H285,H286)</f>
        <v/>
      </c>
      <c r="I283" s="240">
        <f>CHOOSE($B$2,I284,I285,I286)</f>
        <v/>
      </c>
      <c r="J283" s="240">
        <f>CHOOSE($B$2,J284,J285,J286)</f>
        <v/>
      </c>
    </row>
    <row r="284" ht="15.75" customHeight="1" s="169">
      <c r="A284" s="168" t="inlineStr">
        <is>
          <t xml:space="preserve">  Base</t>
        </is>
      </c>
      <c r="F284" s="241" t="n">
        <v>0.015</v>
      </c>
      <c r="G284" s="241" t="n">
        <v>0.015</v>
      </c>
      <c r="H284" s="241" t="n">
        <v>0.015</v>
      </c>
      <c r="I284" s="241" t="n">
        <v>0.015</v>
      </c>
      <c r="J284" s="241" t="n">
        <v>0.015</v>
      </c>
    </row>
    <row r="285" ht="15.75" customHeight="1" s="169">
      <c r="A285" s="168" t="inlineStr">
        <is>
          <t xml:space="preserve">  Street</t>
        </is>
      </c>
      <c r="F285" s="241" t="n">
        <v>0.02</v>
      </c>
      <c r="G285" s="241" t="n">
        <v>0.02</v>
      </c>
      <c r="H285" s="241" t="n">
        <v>0.02</v>
      </c>
      <c r="I285" s="241" t="n">
        <v>0.02</v>
      </c>
      <c r="J285" s="241" t="n">
        <v>0.02</v>
      </c>
    </row>
    <row r="286" ht="15.75" customHeight="1" s="169">
      <c r="A286" s="168" t="inlineStr">
        <is>
          <t xml:space="preserve">  Bull</t>
        </is>
      </c>
      <c r="F286" s="241" t="n">
        <v>0.03</v>
      </c>
      <c r="G286" s="241" t="n">
        <v>0.03</v>
      </c>
      <c r="H286" s="241" t="n">
        <v>0.03</v>
      </c>
      <c r="I286" s="241" t="n">
        <v>0.03</v>
      </c>
      <c r="J286" s="241" t="n">
        <v>0.03</v>
      </c>
    </row>
    <row r="288" ht="15.75" customHeight="1" s="169">
      <c r="A288" s="207" t="inlineStr">
        <is>
          <t>eMobility revenue growth</t>
        </is>
      </c>
      <c r="L288" s="168" t="inlineStr">
        <is>
          <t>EV program ramps. 2025 fell 9%.</t>
        </is>
      </c>
    </row>
    <row r="289" ht="15.75" customHeight="1" s="169">
      <c r="A289" s="171" t="inlineStr">
        <is>
          <t xml:space="preserve">  Live</t>
        </is>
      </c>
      <c r="F289" s="240">
        <f>CHOOSE($B$2,F290,F291,F292)</f>
        <v/>
      </c>
      <c r="G289" s="240">
        <f>CHOOSE($B$2,G290,G291,G292)</f>
        <v/>
      </c>
      <c r="H289" s="240">
        <f>CHOOSE($B$2,H290,H291,H292)</f>
        <v/>
      </c>
      <c r="I289" s="240">
        <f>CHOOSE($B$2,I290,I291,I292)</f>
        <v/>
      </c>
      <c r="J289" s="240">
        <f>CHOOSE($B$2,J290,J291,J292)</f>
        <v/>
      </c>
    </row>
    <row r="290" ht="15.75" customHeight="1" s="169">
      <c r="A290" s="168" t="inlineStr">
        <is>
          <t xml:space="preserve">  Base</t>
        </is>
      </c>
      <c r="F290" s="241" t="n">
        <v>0</v>
      </c>
      <c r="G290" s="241" t="n">
        <v>0.03</v>
      </c>
      <c r="H290" s="241" t="n">
        <v>0.05</v>
      </c>
      <c r="I290" s="241" t="n">
        <v>0.05</v>
      </c>
      <c r="J290" s="241" t="n">
        <v>0.05</v>
      </c>
    </row>
    <row r="291" ht="15.75" customHeight="1" s="169">
      <c r="A291" s="168" t="inlineStr">
        <is>
          <t xml:space="preserve">  Street</t>
        </is>
      </c>
      <c r="F291" s="241" t="n">
        <v>0.02</v>
      </c>
      <c r="G291" s="241" t="n">
        <v>0.05</v>
      </c>
      <c r="H291" s="241" t="n">
        <v>0.06</v>
      </c>
      <c r="I291" s="241" t="n">
        <v>0.06</v>
      </c>
      <c r="J291" s="241" t="n">
        <v>0.06</v>
      </c>
    </row>
    <row r="292" ht="15.75" customHeight="1" s="169">
      <c r="A292" s="168" t="inlineStr">
        <is>
          <t xml:space="preserve">  Bull</t>
        </is>
      </c>
      <c r="F292" s="241" t="n">
        <v>0.05</v>
      </c>
      <c r="G292" s="241" t="n">
        <v>0.1</v>
      </c>
      <c r="H292" s="241" t="n">
        <v>0.12</v>
      </c>
      <c r="I292" s="241" t="n">
        <v>0.12</v>
      </c>
      <c r="J292" s="241" t="n">
        <v>0.12</v>
      </c>
    </row>
    <row r="294" ht="15.75" customHeight="1" s="169">
      <c r="A294" s="221" t="inlineStr">
        <is>
          <t>Acquisitions and Portfolio</t>
        </is>
      </c>
    </row>
    <row r="295" ht="15.75" customHeight="1" s="169">
      <c r="A295" s="168" t="inlineStr">
        <is>
          <t>Boyd Thermal revenue (in Electrical Global Systems)</t>
        </is>
      </c>
      <c r="F295" s="239" t="n">
        <v>1800</v>
      </c>
      <c r="G295" s="178">
        <f>F295*(1+G227)</f>
        <v/>
      </c>
      <c r="H295" s="178">
        <f>G295*(1+H227)</f>
        <v/>
      </c>
      <c r="I295" s="178">
        <f>H295*(1+I227)</f>
        <v/>
      </c>
      <c r="J295" s="178">
        <f>I295*(1+J227)</f>
        <v/>
      </c>
      <c r="L295" s="168" t="inlineStr">
        <is>
          <t>Closed 12-Mar-26, $9.55B. Reported in Electrical Global. FY26 revenue outlook raised to $1.8B.</t>
        </is>
      </c>
    </row>
    <row r="296" ht="15.75" customHeight="1" s="169">
      <c r="A296" s="168" t="inlineStr">
        <is>
          <t>Ultra PCS revenue (in Aerospace)</t>
        </is>
      </c>
      <c r="F296" s="239" t="n">
        <v>240</v>
      </c>
      <c r="G296" s="178">
        <f>F296*(1+G99)</f>
        <v/>
      </c>
      <c r="H296" s="178">
        <f>G296*(1+H99)</f>
        <v/>
      </c>
      <c r="I296" s="178">
        <f>H296*(1+I99)</f>
        <v/>
      </c>
      <c r="J296" s="178">
        <f>I296*(1+J99)</f>
        <v/>
      </c>
      <c r="L296" s="168" t="inlineStr">
        <is>
          <t>Closed 23-Jan-26. Added ~6 pts to Q2-26 Aerospace growth, so ~$65M a quarter. Grows with OEM after.</t>
        </is>
      </c>
    </row>
    <row r="297" ht="15.75" customHeight="1" s="169">
      <c r="A297" s="168" t="inlineStr">
        <is>
          <t>Commercial share of Aerospace OEM</t>
        </is>
      </c>
      <c r="F297" s="232" t="n">
        <v>0.6</v>
      </c>
      <c r="L297" s="168" t="inlineStr">
        <is>
          <t>Rest is defense. My estimate, Eaton does not split this out.</t>
        </is>
      </c>
    </row>
    <row r="298" ht="15.75" customHeight="1" s="169">
      <c r="A298" s="168" t="inlineStr">
        <is>
          <t>Keep Mobility in after Dana deal? (1 = yes, 0 = no)</t>
        </is>
      </c>
      <c r="F298" s="222" t="n">
        <v>1</v>
      </c>
      <c r="L298" s="168" t="inlineStr">
        <is>
          <t>Mobility merging with Dana (Reverse Morris Trust), close expected Q1-27. 1 keeps it in to compare with street.</t>
        </is>
      </c>
    </row>
    <row r="299" ht="15.75" customHeight="1" s="169">
      <c r="A299" s="168" t="inlineStr">
        <is>
          <t>Mobility consolidated %</t>
        </is>
      </c>
      <c r="F299" s="187" t="n">
        <v>1</v>
      </c>
      <c r="G299" s="187">
        <f>IF($F$298=1,1,0.25)</f>
        <v/>
      </c>
      <c r="H299" s="187">
        <f>IF($F$298=1,1,0)</f>
        <v/>
      </c>
      <c r="I299" s="187">
        <f>IF($F$298=1,1,0)</f>
        <v/>
      </c>
      <c r="J299" s="187">
        <f>IF($F$298=1,1,0)</f>
        <v/>
      </c>
    </row>
    <row r="301" ht="15.75" customHeight="1" s="169">
      <c r="A301" s="171" t="inlineStr">
        <is>
          <t>US Electrical Infrastructure + Backlog</t>
        </is>
      </c>
    </row>
    <row r="302" ht="15.75" customHeight="1" s="169">
      <c r="A302" s="207" t="inlineStr">
        <is>
          <t>US utility capex growth (EEI members)</t>
        </is>
      </c>
      <c r="L302" s="168" t="inlineStr">
        <is>
          <t>Base = EEI Sep-25 projections. Street = S&amp;P RRA $1.295T for 2026-30 (Sep-26). Bull = upward revisions continue.</t>
        </is>
      </c>
    </row>
    <row r="303" ht="15.75" customHeight="1" s="169">
      <c r="A303" s="171" t="inlineStr">
        <is>
          <t xml:space="preserve">  Live</t>
        </is>
      </c>
      <c r="F303" s="240">
        <f>CHOOSE($B$2,F304,F305,F306)</f>
        <v/>
      </c>
      <c r="G303" s="240">
        <f>CHOOSE($B$2,G304,G305,G306)</f>
        <v/>
      </c>
      <c r="H303" s="240">
        <f>CHOOSE($B$2,H304,H305,H306)</f>
        <v/>
      </c>
      <c r="I303" s="240">
        <f>CHOOSE($B$2,I304,I305,I306)</f>
        <v/>
      </c>
      <c r="J303" s="240">
        <f>CHOOSE($B$2,J304,J305,J306)</f>
        <v/>
      </c>
    </row>
    <row r="304" ht="15.75" customHeight="1" s="169">
      <c r="A304" s="168" t="inlineStr">
        <is>
          <t xml:space="preserve">  Base</t>
        </is>
      </c>
      <c r="F304" s="241" t="n">
        <v>0.062</v>
      </c>
      <c r="G304" s="241" t="n">
        <v>0.048</v>
      </c>
      <c r="H304" s="241" t="n">
        <v>0.044</v>
      </c>
      <c r="I304" s="241" t="n">
        <v>0.029</v>
      </c>
      <c r="J304" s="241" t="n">
        <v>0.03</v>
      </c>
    </row>
    <row r="305" ht="15.75" customHeight="1" s="169">
      <c r="A305" s="168" t="inlineStr">
        <is>
          <t xml:space="preserve">  Street</t>
        </is>
      </c>
      <c r="F305" s="241" t="n">
        <v>0.13</v>
      </c>
      <c r="G305" s="241" t="n">
        <v>0.064</v>
      </c>
      <c r="H305" s="241" t="n">
        <v>0.04</v>
      </c>
      <c r="I305" s="241" t="n">
        <v>0.038</v>
      </c>
      <c r="J305" s="241" t="n">
        <v>0.037</v>
      </c>
    </row>
    <row r="306" ht="15.75" customHeight="1" s="169">
      <c r="A306" s="168" t="inlineStr">
        <is>
          <t xml:space="preserve">  Bull</t>
        </is>
      </c>
      <c r="F306" s="241" t="n">
        <v>0.15</v>
      </c>
      <c r="G306" s="241" t="n">
        <v>0.09</v>
      </c>
      <c r="H306" s="241" t="n">
        <v>0.07000000000000001</v>
      </c>
      <c r="I306" s="241" t="n">
        <v>0.06</v>
      </c>
      <c r="J306" s="241" t="n">
        <v>0.05</v>
      </c>
    </row>
    <row r="308" ht="15.75" customHeight="1" s="169">
      <c r="A308" s="207" t="inlineStr">
        <is>
          <t>US manufacturing construction growth (Census)</t>
        </is>
      </c>
      <c r="L308" s="168" t="inlineStr">
        <is>
          <t>Peaked 2024 at ~$244B, 2026 YTD ~$176B (-19%). AIA sees non-res weak through 2027.</t>
        </is>
      </c>
    </row>
    <row r="309" ht="15.75" customHeight="1" s="169">
      <c r="A309" s="171" t="inlineStr">
        <is>
          <t xml:space="preserve">  Live</t>
        </is>
      </c>
      <c r="F309" s="240">
        <f>CHOOSE($B$2,F310,F311,F312)</f>
        <v/>
      </c>
      <c r="G309" s="240">
        <f>CHOOSE($B$2,G310,G311,G312)</f>
        <v/>
      </c>
      <c r="H309" s="240">
        <f>CHOOSE($B$2,H310,H311,H312)</f>
        <v/>
      </c>
      <c r="I309" s="240">
        <f>CHOOSE($B$2,I310,I311,I312)</f>
        <v/>
      </c>
      <c r="J309" s="240">
        <f>CHOOSE($B$2,J310,J311,J312)</f>
        <v/>
      </c>
    </row>
    <row r="310" ht="15.75" customHeight="1" s="169">
      <c r="A310" s="168" t="inlineStr">
        <is>
          <t xml:space="preserve">  Base</t>
        </is>
      </c>
      <c r="F310" s="241" t="n">
        <v>-0.19</v>
      </c>
      <c r="G310" s="241" t="n">
        <v>-0.05</v>
      </c>
      <c r="H310" s="241" t="n">
        <v>0.02</v>
      </c>
      <c r="I310" s="241" t="n">
        <v>0.03</v>
      </c>
      <c r="J310" s="241" t="n">
        <v>0.03</v>
      </c>
    </row>
    <row r="311" ht="15.75" customHeight="1" s="169">
      <c r="A311" s="168" t="inlineStr">
        <is>
          <t xml:space="preserve">  Street</t>
        </is>
      </c>
      <c r="F311" s="241" t="n">
        <v>-0.19</v>
      </c>
      <c r="G311" s="241" t="n">
        <v>-0.03</v>
      </c>
      <c r="H311" s="241" t="n">
        <v>0.03</v>
      </c>
      <c r="I311" s="241" t="n">
        <v>0.04</v>
      </c>
      <c r="J311" s="241" t="n">
        <v>0.04</v>
      </c>
    </row>
    <row r="312" ht="15.75" customHeight="1" s="169">
      <c r="A312" s="168" t="inlineStr">
        <is>
          <t xml:space="preserve">  Bull</t>
        </is>
      </c>
      <c r="F312" s="241" t="n">
        <v>-0.18</v>
      </c>
      <c r="G312" s="241" t="n">
        <v>0.03</v>
      </c>
      <c r="H312" s="241" t="n">
        <v>0.08</v>
      </c>
      <c r="I312" s="241" t="n">
        <v>0.06</v>
      </c>
      <c r="J312" s="241" t="n">
        <v>0.05</v>
      </c>
    </row>
    <row r="314" ht="15.75" customHeight="1" s="169">
      <c r="A314" s="207" t="inlineStr">
        <is>
          <t>Aerospace book to bill</t>
        </is>
      </c>
      <c r="L314" s="168" t="inlineStr">
        <is>
          <t>Rolling 12-mo: 1.1 at Q4-25, 1.2 at Q2-26.</t>
        </is>
      </c>
    </row>
    <row r="315" ht="15.75" customHeight="1" s="169">
      <c r="A315" s="171" t="inlineStr">
        <is>
          <t xml:space="preserve">  Live</t>
        </is>
      </c>
      <c r="F315" s="244">
        <f>CHOOSE($B$2,F316,F317,F318)</f>
        <v/>
      </c>
      <c r="G315" s="244">
        <f>CHOOSE($B$2,G316,G317,G318)</f>
        <v/>
      </c>
      <c r="H315" s="244">
        <f>CHOOSE($B$2,H316,H317,H318)</f>
        <v/>
      </c>
      <c r="I315" s="244">
        <f>CHOOSE($B$2,I316,I317,I318)</f>
        <v/>
      </c>
      <c r="J315" s="244">
        <f>CHOOSE($B$2,J316,J317,J318)</f>
        <v/>
      </c>
    </row>
    <row r="316" ht="15.75" customHeight="1" s="169">
      <c r="A316" s="168" t="inlineStr">
        <is>
          <t xml:space="preserve">  Base</t>
        </is>
      </c>
      <c r="F316" s="245" t="n">
        <v>1.15</v>
      </c>
      <c r="G316" s="245" t="n">
        <v>1.1</v>
      </c>
      <c r="H316" s="245" t="n">
        <v>1.08</v>
      </c>
      <c r="I316" s="245" t="n">
        <v>1.06</v>
      </c>
      <c r="J316" s="245" t="n">
        <v>1.05</v>
      </c>
    </row>
    <row r="317" ht="15.75" customHeight="1" s="169">
      <c r="A317" s="168" t="inlineStr">
        <is>
          <t xml:space="preserve">  Street</t>
        </is>
      </c>
      <c r="F317" s="245" t="n">
        <v>1.15</v>
      </c>
      <c r="G317" s="245" t="n">
        <v>1.12</v>
      </c>
      <c r="H317" s="245" t="n">
        <v>1.08</v>
      </c>
      <c r="I317" s="245" t="n">
        <v>1.06</v>
      </c>
      <c r="J317" s="245" t="n">
        <v>1.05</v>
      </c>
    </row>
    <row r="318" ht="15.75" customHeight="1" s="169">
      <c r="A318" s="168" t="inlineStr">
        <is>
          <t xml:space="preserve">  Bull</t>
        </is>
      </c>
      <c r="F318" s="245" t="n">
        <v>1.2</v>
      </c>
      <c r="G318" s="245" t="n">
        <v>1.15</v>
      </c>
      <c r="H318" s="245" t="n">
        <v>1.12</v>
      </c>
      <c r="I318" s="245" t="n">
        <v>1.1</v>
      </c>
      <c r="J318" s="245" t="n">
        <v>1.08</v>
      </c>
    </row>
    <row r="321" ht="15.75" customHeight="1" s="169">
      <c r="A321" s="219" t="inlineStr">
        <is>
          <t>7. US Electrical Infrastructure Capex ($B)</t>
        </is>
      </c>
      <c r="B321" s="219" t="n"/>
      <c r="C321" s="219" t="n"/>
      <c r="D321" s="219" t="n"/>
      <c r="E321" s="219" t="n"/>
      <c r="F321" s="219" t="n"/>
      <c r="G321" s="219" t="n"/>
      <c r="H321" s="219" t="n"/>
      <c r="I321" s="219" t="n"/>
      <c r="J321" s="219" t="n"/>
    </row>
    <row r="322" ht="15.75" customHeight="1" s="169">
      <c r="B322" s="176">
        <f>B5</f>
        <v/>
      </c>
      <c r="C322" s="176">
        <f>C5</f>
        <v/>
      </c>
      <c r="D322" s="176">
        <f>D5</f>
        <v/>
      </c>
      <c r="E322" s="176">
        <f>E5</f>
        <v/>
      </c>
      <c r="F322" s="176">
        <f>F5</f>
        <v/>
      </c>
      <c r="G322" s="176">
        <f>G5</f>
        <v/>
      </c>
      <c r="H322" s="176">
        <f>H5</f>
        <v/>
      </c>
      <c r="I322" s="176">
        <f>I5</f>
        <v/>
      </c>
      <c r="J322" s="176">
        <f>J5</f>
        <v/>
      </c>
    </row>
    <row r="323" ht="15.75" customHeight="1" s="169">
      <c r="A323" s="168" t="inlineStr">
        <is>
          <t>Hyperscaler capex, big four</t>
        </is>
      </c>
      <c r="B323" s="246">
        <f>B35/1000</f>
        <v/>
      </c>
      <c r="C323" s="246">
        <f>C35/1000</f>
        <v/>
      </c>
      <c r="D323" s="246">
        <f>D35/1000</f>
        <v/>
      </c>
      <c r="E323" s="246">
        <f>E35/1000</f>
        <v/>
      </c>
      <c r="F323" s="246">
        <f>F35/1000</f>
        <v/>
      </c>
      <c r="G323" s="246">
        <f>G35/1000</f>
        <v/>
      </c>
      <c r="H323" s="246">
        <f>H35/1000</f>
        <v/>
      </c>
      <c r="I323" s="246">
        <f>I35/1000</f>
        <v/>
      </c>
      <c r="J323" s="246">
        <f>J35/1000</f>
        <v/>
      </c>
      <c r="L323" s="168" t="inlineStr">
        <is>
          <t>From section 1. Global spend, used as the data centre signal.</t>
        </is>
      </c>
    </row>
    <row r="324" ht="15.75" customHeight="1" s="169">
      <c r="A324" s="168" t="inlineStr">
        <is>
          <t xml:space="preserve">  growth</t>
        </is>
      </c>
      <c r="C324" s="236">
        <f>C36</f>
        <v/>
      </c>
      <c r="D324" s="236">
        <f>D36</f>
        <v/>
      </c>
      <c r="E324" s="236">
        <f>E36</f>
        <v/>
      </c>
      <c r="F324" s="236">
        <f>F36</f>
        <v/>
      </c>
      <c r="G324" s="236">
        <f>G36</f>
        <v/>
      </c>
      <c r="H324" s="236">
        <f>H36</f>
        <v/>
      </c>
      <c r="I324" s="236">
        <f>I36</f>
        <v/>
      </c>
      <c r="J324" s="236">
        <f>J36</f>
        <v/>
      </c>
    </row>
    <row r="325" ht="15.75" customHeight="1" s="169">
      <c r="A325" s="168" t="inlineStr">
        <is>
          <t>US utility capex (EEI members)</t>
        </is>
      </c>
      <c r="B325" s="246" t="n">
        <v>147.7</v>
      </c>
      <c r="C325" s="246" t="n">
        <v>171.9</v>
      </c>
      <c r="D325" s="246" t="n">
        <v>178.2</v>
      </c>
      <c r="E325" s="246" t="n">
        <v>207.9</v>
      </c>
      <c r="F325" s="246">
        <f>E325*(1+F326)</f>
        <v/>
      </c>
      <c r="G325" s="246">
        <f>F325*(1+G326)</f>
        <v/>
      </c>
      <c r="H325" s="246">
        <f>G325*(1+H326)</f>
        <v/>
      </c>
      <c r="I325" s="246">
        <f>H325*(1+I326)</f>
        <v/>
      </c>
      <c r="J325" s="246">
        <f>I325*(1+J326)</f>
        <v/>
      </c>
      <c r="L325" s="168" t="inlineStr">
        <is>
          <t>EEI Industry Capital Expenditures (Sep-25): 2022-24 actual, 2025 projection.</t>
        </is>
      </c>
    </row>
    <row r="326" ht="15.75" customHeight="1" s="169">
      <c r="A326" s="168" t="inlineStr">
        <is>
          <t xml:space="preserve">  growth</t>
        </is>
      </c>
      <c r="C326" s="236">
        <f>(C325-B325)/B325</f>
        <v/>
      </c>
      <c r="D326" s="236">
        <f>(D325-C325)/C325</f>
        <v/>
      </c>
      <c r="E326" s="236">
        <f>(E325-D325)/D325</f>
        <v/>
      </c>
      <c r="F326" s="236">
        <f>F303</f>
        <v/>
      </c>
      <c r="G326" s="236">
        <f>G303</f>
        <v/>
      </c>
      <c r="H326" s="236">
        <f>H303</f>
        <v/>
      </c>
      <c r="I326" s="236">
        <f>I303</f>
        <v/>
      </c>
      <c r="J326" s="236">
        <f>J303</f>
        <v/>
      </c>
    </row>
    <row r="327" ht="15.75" customHeight="1" s="169">
      <c r="A327" s="168" t="inlineStr">
        <is>
          <t>US manufacturing construction (Census, annual avg)</t>
        </is>
      </c>
      <c r="B327" s="246" t="n">
        <v>124.6</v>
      </c>
      <c r="C327" s="246" t="n">
        <v>202.2</v>
      </c>
      <c r="D327" s="246" t="n">
        <v>244.1</v>
      </c>
      <c r="E327" s="246" t="n">
        <v>215.4</v>
      </c>
      <c r="F327" s="246">
        <f>E327*(1+F328)</f>
        <v/>
      </c>
      <c r="G327" s="246">
        <f>F327*(1+G328)</f>
        <v/>
      </c>
      <c r="H327" s="246">
        <f>G327*(1+H328)</f>
        <v/>
      </c>
      <c r="I327" s="246">
        <f>H327*(1+I328)</f>
        <v/>
      </c>
      <c r="J327" s="246">
        <f>I327*(1+J328)</f>
        <v/>
      </c>
      <c r="L327" s="168" t="inlineStr">
        <is>
          <t>FRED TLMFGCONS, average of monthly SAAR.</t>
        </is>
      </c>
    </row>
    <row r="328" ht="15.75" customHeight="1" s="169">
      <c r="A328" s="168" t="inlineStr">
        <is>
          <t xml:space="preserve">  growth</t>
        </is>
      </c>
      <c r="C328" s="236">
        <f>(C327-B327)/B327</f>
        <v/>
      </c>
      <c r="D328" s="236">
        <f>(D327-C327)/C327</f>
        <v/>
      </c>
      <c r="E328" s="236">
        <f>(E327-D327)/D327</f>
        <v/>
      </c>
      <c r="F328" s="236">
        <f>F309</f>
        <v/>
      </c>
      <c r="G328" s="236">
        <f>G309</f>
        <v/>
      </c>
      <c r="H328" s="236">
        <f>H309</f>
        <v/>
      </c>
      <c r="I328" s="236">
        <f>I309</f>
        <v/>
      </c>
      <c r="J328" s="236">
        <f>J309</f>
        <v/>
      </c>
    </row>
    <row r="330" ht="15.75" customHeight="1" s="169">
      <c r="A330" s="207" t="inlineStr">
        <is>
          <t>Weight in Americas Systems demand</t>
        </is>
      </c>
      <c r="L330" s="168" t="inlineStr">
        <is>
          <t>My estimate of end market mix, Eaton does not disclose it for Systems. Must sum to 100%.</t>
        </is>
      </c>
    </row>
    <row r="331" ht="15.75" customHeight="1" s="169">
      <c r="A331" s="168" t="inlineStr">
        <is>
          <t xml:space="preserve">  Data centres</t>
        </is>
      </c>
      <c r="F331" s="187" t="n">
        <v>0.5</v>
      </c>
    </row>
    <row r="332" ht="15.75" customHeight="1" s="169">
      <c r="A332" s="168" t="inlineStr">
        <is>
          <t xml:space="preserve">  Utilities / grid</t>
        </is>
      </c>
      <c r="F332" s="187" t="n">
        <v>0.25</v>
      </c>
    </row>
    <row r="333" ht="15.75" customHeight="1" s="169">
      <c r="A333" s="168" t="inlineStr">
        <is>
          <t xml:space="preserve">  Manufacturing / industrial</t>
        </is>
      </c>
      <c r="F333" s="187" t="n">
        <v>0.25</v>
      </c>
    </row>
    <row r="335" ht="15.75" customHeight="1" s="169">
      <c r="A335" s="171" t="inlineStr">
        <is>
          <t>US electrical infrastructure capex growth</t>
        </is>
      </c>
      <c r="C335" s="240">
        <f>$F$331*C324+$F$332*C326+$F$333*C328</f>
        <v/>
      </c>
      <c r="D335" s="240">
        <f>$F$331*D324+$F$332*D326+$F$333*D328</f>
        <v/>
      </c>
      <c r="E335" s="240">
        <f>$F$331*E324+$F$332*E326+$F$333*E328</f>
        <v/>
      </c>
      <c r="F335" s="240">
        <f>$F$331*F324+$F$332*F326+$F$333*F328</f>
        <v/>
      </c>
      <c r="G335" s="240">
        <f>$F$331*G324+$F$332*G326+$F$333*G328</f>
        <v/>
      </c>
      <c r="H335" s="240">
        <f>$F$331*H324+$F$332*H326+$F$333*H328</f>
        <v/>
      </c>
      <c r="I335" s="240">
        <f>$F$331*I324+$F$332*I326+$F$333*I328</f>
        <v/>
      </c>
      <c r="J335" s="240">
        <f>$F$331*J324+$F$332*J326+$F$333*J328</f>
        <v/>
      </c>
      <c r="L335" s="168" t="inlineStr">
        <is>
          <t>Feeds Americas Systems orders (row 50).</t>
        </is>
      </c>
    </row>
    <row r="336" ht="15.75" customHeight="1" s="169">
      <c r="A336" s="168" t="inlineStr">
        <is>
          <t xml:space="preserve">  Index (2022 = 100)</t>
        </is>
      </c>
      <c r="B336" s="178" t="n">
        <v>100</v>
      </c>
      <c r="C336" s="178">
        <f>B336*(1+C335)</f>
        <v/>
      </c>
      <c r="D336" s="178">
        <f>C336*(1+D335)</f>
        <v/>
      </c>
      <c r="E336" s="178">
        <f>D336*(1+E335)</f>
        <v/>
      </c>
      <c r="F336" s="178">
        <f>E336*(1+F335)</f>
        <v/>
      </c>
      <c r="G336" s="178">
        <f>F336*(1+G335)</f>
        <v/>
      </c>
      <c r="H336" s="178">
        <f>G336*(1+H335)</f>
        <v/>
      </c>
      <c r="I336" s="178">
        <f>H336*(1+I335)</f>
        <v/>
      </c>
      <c r="J336" s="178">
        <f>I336*(1+J335)</f>
        <v/>
      </c>
    </row>
    <row r="339" ht="15.75" customHeight="1" s="169">
      <c r="A339" s="219" t="inlineStr">
        <is>
          <t>8. Backlog Build ($M)</t>
        </is>
      </c>
      <c r="B339" s="219" t="n"/>
      <c r="C339" s="219" t="n"/>
      <c r="D339" s="219" t="n"/>
      <c r="E339" s="219" t="n"/>
      <c r="F339" s="219" t="n"/>
      <c r="G339" s="219" t="n"/>
      <c r="H339" s="219" t="n"/>
      <c r="I339" s="219" t="n"/>
      <c r="J339" s="219" t="n"/>
    </row>
    <row r="340" ht="15.75" customHeight="1" s="169">
      <c r="B340" s="176">
        <f>B5</f>
        <v/>
      </c>
      <c r="C340" s="176">
        <f>C5</f>
        <v/>
      </c>
      <c r="D340" s="176">
        <f>D5</f>
        <v/>
      </c>
      <c r="E340" s="176">
        <f>E5</f>
        <v/>
      </c>
      <c r="F340" s="176">
        <f>F5</f>
        <v/>
      </c>
      <c r="G340" s="176">
        <f>G5</f>
        <v/>
      </c>
      <c r="H340" s="176">
        <f>H5</f>
        <v/>
      </c>
      <c r="I340" s="176">
        <f>I5</f>
        <v/>
      </c>
      <c r="J340" s="176">
        <f>J5</f>
        <v/>
      </c>
    </row>
    <row r="341" ht="15.75" customHeight="1" s="169">
      <c r="A341" s="207" t="inlineStr">
        <is>
          <t>Electrical Americas</t>
        </is>
      </c>
      <c r="L341" s="168" t="inlineStr">
        <is>
          <t>Same roll as section 2. 2025 closing ties to Eaton's +31% backlog growth.</t>
        </is>
      </c>
    </row>
    <row r="342" ht="15.75" customHeight="1" s="169">
      <c r="A342" s="186" t="inlineStr">
        <is>
          <t xml:space="preserve">  Opening backlog</t>
        </is>
      </c>
      <c r="C342" s="178">
        <f>C41</f>
        <v/>
      </c>
      <c r="D342" s="178">
        <f>D41</f>
        <v/>
      </c>
      <c r="E342" s="178">
        <f>E41</f>
        <v/>
      </c>
      <c r="F342" s="178">
        <f>F41</f>
        <v/>
      </c>
      <c r="G342" s="178">
        <f>G41</f>
        <v/>
      </c>
      <c r="H342" s="178">
        <f>H41</f>
        <v/>
      </c>
      <c r="I342" s="178">
        <f>I41</f>
        <v/>
      </c>
      <c r="J342" s="178">
        <f>J41</f>
        <v/>
      </c>
    </row>
    <row r="343" ht="15.75" customHeight="1" s="169">
      <c r="A343" s="186" t="inlineStr">
        <is>
          <t xml:space="preserve">  + New orders</t>
        </is>
      </c>
      <c r="C343" s="178">
        <f>C42</f>
        <v/>
      </c>
      <c r="D343" s="178">
        <f>D42</f>
        <v/>
      </c>
      <c r="E343" s="178">
        <f>E42</f>
        <v/>
      </c>
      <c r="F343" s="178">
        <f>F42</f>
        <v/>
      </c>
      <c r="G343" s="178">
        <f>G42</f>
        <v/>
      </c>
      <c r="H343" s="178">
        <f>H42</f>
        <v/>
      </c>
      <c r="I343" s="178">
        <f>I42</f>
        <v/>
      </c>
      <c r="J343" s="178">
        <f>J42</f>
        <v/>
      </c>
    </row>
    <row r="344" ht="15.75" customHeight="1" s="169">
      <c r="A344" s="186" t="inlineStr">
        <is>
          <t xml:space="preserve">  - Revenue</t>
        </is>
      </c>
      <c r="C344" s="178">
        <f>C43</f>
        <v/>
      </c>
      <c r="D344" s="178">
        <f>D43</f>
        <v/>
      </c>
      <c r="E344" s="178">
        <f>E43</f>
        <v/>
      </c>
      <c r="F344" s="178">
        <f>F43</f>
        <v/>
      </c>
      <c r="G344" s="178">
        <f>G43</f>
        <v/>
      </c>
      <c r="H344" s="178">
        <f>H43</f>
        <v/>
      </c>
      <c r="I344" s="178">
        <f>I43</f>
        <v/>
      </c>
      <c r="J344" s="178">
        <f>J43</f>
        <v/>
      </c>
    </row>
    <row r="345" ht="15.75" customHeight="1" s="169">
      <c r="A345" s="171" t="inlineStr">
        <is>
          <t xml:space="preserve">  Closing backlog</t>
        </is>
      </c>
      <c r="C345" s="238">
        <f>C342+C343-C344</f>
        <v/>
      </c>
      <c r="D345" s="238">
        <f>D342+D343-D344</f>
        <v/>
      </c>
      <c r="E345" s="238">
        <f>E342+E343-E344</f>
        <v/>
      </c>
      <c r="F345" s="238">
        <f>F342+F343-F344</f>
        <v/>
      </c>
      <c r="G345" s="238">
        <f>G342+G343-G344</f>
        <v/>
      </c>
      <c r="H345" s="238">
        <f>H342+H343-H344</f>
        <v/>
      </c>
      <c r="I345" s="238">
        <f>I342+I343-I344</f>
        <v/>
      </c>
      <c r="J345" s="238">
        <f>J342+J343-J344</f>
        <v/>
      </c>
    </row>
    <row r="346" ht="15.75" customHeight="1" s="169">
      <c r="A346" s="186" t="inlineStr">
        <is>
          <t xml:space="preserve">  Backlog growth</t>
        </is>
      </c>
      <c r="C346" s="236">
        <f>(C345-C342)/C342</f>
        <v/>
      </c>
      <c r="D346" s="236">
        <f>(D345-D342)/D342</f>
        <v/>
      </c>
      <c r="E346" s="236">
        <f>(E345-E342)/E342</f>
        <v/>
      </c>
      <c r="F346" s="236">
        <f>(F345-F342)/F342</f>
        <v/>
      </c>
      <c r="G346" s="236">
        <f>(G345-G342)/G342</f>
        <v/>
      </c>
      <c r="H346" s="236">
        <f>(H345-H342)/H342</f>
        <v/>
      </c>
      <c r="I346" s="236">
        <f>(I345-I342)/I342</f>
        <v/>
      </c>
      <c r="J346" s="236">
        <f>(J345-J342)/J342</f>
        <v/>
      </c>
    </row>
    <row r="347" ht="15.75" customHeight="1" s="169">
      <c r="A347" s="186" t="inlineStr">
        <is>
          <t xml:space="preserve">  Book to bill</t>
        </is>
      </c>
      <c r="C347" s="247">
        <f>C343/C344</f>
        <v/>
      </c>
      <c r="D347" s="247">
        <f>D343/D344</f>
        <v/>
      </c>
      <c r="E347" s="247">
        <f>E343/E344</f>
        <v/>
      </c>
      <c r="F347" s="247">
        <f>F343/F344</f>
        <v/>
      </c>
      <c r="G347" s="247">
        <f>G343/G344</f>
        <v/>
      </c>
      <c r="H347" s="247">
        <f>H343/H344</f>
        <v/>
      </c>
      <c r="I347" s="247">
        <f>I343/I344</f>
        <v/>
      </c>
      <c r="J347" s="247">
        <f>J343/J344</f>
        <v/>
      </c>
    </row>
    <row r="348" ht="15.75" customHeight="1" s="169">
      <c r="A348" s="186" t="inlineStr">
        <is>
          <t xml:space="preserve">  Closing backlog / next year revenue</t>
        </is>
      </c>
      <c r="C348" s="247">
        <f>C345/D344</f>
        <v/>
      </c>
      <c r="D348" s="247">
        <f>D345/E344</f>
        <v/>
      </c>
      <c r="E348" s="247">
        <f>E345/F344</f>
        <v/>
      </c>
      <c r="F348" s="247">
        <f>F345/G344</f>
        <v/>
      </c>
      <c r="G348" s="247">
        <f>G345/H344</f>
        <v/>
      </c>
      <c r="H348" s="247">
        <f>H345/I344</f>
        <v/>
      </c>
      <c r="I348" s="247">
        <f>I345/J344</f>
        <v/>
      </c>
    </row>
    <row r="350" ht="15.75" customHeight="1" s="169">
      <c r="A350" s="207" t="inlineStr">
        <is>
          <t>Electrical Global (ex Boyd)</t>
        </is>
      </c>
      <c r="L350" s="168" t="inlineStr">
        <is>
          <t>Same roll as section 3. 2025 closing ties to Eaton's +19%. Boyd backlog not modelled.</t>
        </is>
      </c>
    </row>
    <row r="351" ht="15.75" customHeight="1" s="169">
      <c r="A351" s="186" t="inlineStr">
        <is>
          <t xml:space="preserve">  Opening backlog</t>
        </is>
      </c>
      <c r="D351" s="178">
        <f>D70</f>
        <v/>
      </c>
      <c r="E351" s="178">
        <f>E70</f>
        <v/>
      </c>
      <c r="F351" s="178">
        <f>F70</f>
        <v/>
      </c>
      <c r="G351" s="178">
        <f>G70</f>
        <v/>
      </c>
      <c r="H351" s="178">
        <f>H70</f>
        <v/>
      </c>
      <c r="I351" s="178">
        <f>I70</f>
        <v/>
      </c>
      <c r="J351" s="178">
        <f>J70</f>
        <v/>
      </c>
    </row>
    <row r="352" ht="15.75" customHeight="1" s="169">
      <c r="A352" s="186" t="inlineStr">
        <is>
          <t xml:space="preserve">  + New orders</t>
        </is>
      </c>
      <c r="D352" s="178">
        <f>D71</f>
        <v/>
      </c>
      <c r="E352" s="178">
        <f>E71</f>
        <v/>
      </c>
      <c r="F352" s="178">
        <f>F71</f>
        <v/>
      </c>
      <c r="G352" s="178">
        <f>G71</f>
        <v/>
      </c>
      <c r="H352" s="178">
        <f>H71</f>
        <v/>
      </c>
      <c r="I352" s="178">
        <f>I71</f>
        <v/>
      </c>
      <c r="J352" s="178">
        <f>J71</f>
        <v/>
      </c>
    </row>
    <row r="353" ht="15.75" customHeight="1" s="169">
      <c r="A353" s="186" t="inlineStr">
        <is>
          <t xml:space="preserve">  - Revenue</t>
        </is>
      </c>
      <c r="D353" s="178">
        <f>D72</f>
        <v/>
      </c>
      <c r="E353" s="178">
        <f>E72</f>
        <v/>
      </c>
      <c r="F353" s="178">
        <f>F72</f>
        <v/>
      </c>
      <c r="G353" s="178">
        <f>G72</f>
        <v/>
      </c>
      <c r="H353" s="178">
        <f>H72</f>
        <v/>
      </c>
      <c r="I353" s="178">
        <f>I72</f>
        <v/>
      </c>
      <c r="J353" s="178">
        <f>J72</f>
        <v/>
      </c>
    </row>
    <row r="354" ht="15.75" customHeight="1" s="169">
      <c r="A354" s="171" t="inlineStr">
        <is>
          <t xml:space="preserve">  Closing backlog</t>
        </is>
      </c>
      <c r="D354" s="238">
        <f>D351+D352-D353</f>
        <v/>
      </c>
      <c r="E354" s="238">
        <f>E351+E352-E353</f>
        <v/>
      </c>
      <c r="F354" s="238">
        <f>F351+F352-F353</f>
        <v/>
      </c>
      <c r="G354" s="238">
        <f>G351+G352-G353</f>
        <v/>
      </c>
      <c r="H354" s="238">
        <f>H351+H352-H353</f>
        <v/>
      </c>
      <c r="I354" s="238">
        <f>I351+I352-I353</f>
        <v/>
      </c>
      <c r="J354" s="238">
        <f>J351+J352-J353</f>
        <v/>
      </c>
    </row>
    <row r="355" ht="15.75" customHeight="1" s="169">
      <c r="A355" s="186" t="inlineStr">
        <is>
          <t xml:space="preserve">  Backlog growth</t>
        </is>
      </c>
      <c r="D355" s="236">
        <f>(D354-D351)/D351</f>
        <v/>
      </c>
      <c r="E355" s="236">
        <f>(E354-E351)/E351</f>
        <v/>
      </c>
      <c r="F355" s="236">
        <f>(F354-F351)/F351</f>
        <v/>
      </c>
      <c r="G355" s="236">
        <f>(G354-G351)/G351</f>
        <v/>
      </c>
      <c r="H355" s="236">
        <f>(H354-H351)/H351</f>
        <v/>
      </c>
      <c r="I355" s="236">
        <f>(I354-I351)/I351</f>
        <v/>
      </c>
      <c r="J355" s="236">
        <f>(J354-J351)/J351</f>
        <v/>
      </c>
    </row>
    <row r="356" ht="15.75" customHeight="1" s="169">
      <c r="A356" s="186" t="inlineStr">
        <is>
          <t xml:space="preserve">  Book to bill</t>
        </is>
      </c>
      <c r="D356" s="247">
        <f>D352/D353</f>
        <v/>
      </c>
      <c r="E356" s="247">
        <f>E352/E353</f>
        <v/>
      </c>
      <c r="F356" s="247">
        <f>F352/F353</f>
        <v/>
      </c>
      <c r="G356" s="247">
        <f>G352/G353</f>
        <v/>
      </c>
      <c r="H356" s="247">
        <f>H352/H353</f>
        <v/>
      </c>
      <c r="I356" s="247">
        <f>I352/I353</f>
        <v/>
      </c>
      <c r="J356" s="247">
        <f>J352/J353</f>
        <v/>
      </c>
    </row>
    <row r="357" ht="15.75" customHeight="1" s="169">
      <c r="A357" s="186" t="inlineStr">
        <is>
          <t xml:space="preserve">  Closing backlog / next year revenue</t>
        </is>
      </c>
      <c r="D357" s="247">
        <f>D354/E353</f>
        <v/>
      </c>
      <c r="E357" s="247">
        <f>E354/F353</f>
        <v/>
      </c>
      <c r="F357" s="247">
        <f>F354/G353</f>
        <v/>
      </c>
      <c r="G357" s="247">
        <f>G354/H353</f>
        <v/>
      </c>
      <c r="H357" s="247">
        <f>H354/I353</f>
        <v/>
      </c>
      <c r="I357" s="247">
        <f>I354/J353</f>
        <v/>
      </c>
    </row>
    <row r="359" ht="15.75" customHeight="1" s="169">
      <c r="A359" s="207" t="inlineStr">
        <is>
          <t>Aerospace</t>
        </is>
      </c>
      <c r="L359" s="168" t="inlineStr">
        <is>
          <t>Eaton gives % only. Opening 2025 backed out: orders = 1.1x sales, backlog +16%, so (1.1-1) x 4,249 / 16% = 2,656.</t>
        </is>
      </c>
    </row>
    <row r="360" ht="15.75" customHeight="1" s="169">
      <c r="A360" s="186" t="inlineStr">
        <is>
          <t xml:space="preserve">  Opening backlog</t>
        </is>
      </c>
      <c r="E360" s="178" t="n">
        <v>2656</v>
      </c>
      <c r="F360" s="178">
        <f>E363</f>
        <v/>
      </c>
      <c r="G360" s="178">
        <f>F363</f>
        <v/>
      </c>
      <c r="H360" s="178">
        <f>G363</f>
        <v/>
      </c>
      <c r="I360" s="178">
        <f>H363</f>
        <v/>
      </c>
      <c r="J360" s="178">
        <f>I363</f>
        <v/>
      </c>
    </row>
    <row r="361" ht="15.75" customHeight="1" s="169">
      <c r="A361" s="186" t="inlineStr">
        <is>
          <t xml:space="preserve">  + New orders</t>
        </is>
      </c>
      <c r="E361" s="178">
        <f>E12*1.1</f>
        <v/>
      </c>
      <c r="F361" s="178">
        <f>F12*F315</f>
        <v/>
      </c>
      <c r="G361" s="178">
        <f>G12*G315</f>
        <v/>
      </c>
      <c r="H361" s="178">
        <f>H12*H315</f>
        <v/>
      </c>
      <c r="I361" s="178">
        <f>I12*I315</f>
        <v/>
      </c>
      <c r="J361" s="178">
        <f>J12*J315</f>
        <v/>
      </c>
    </row>
    <row r="362" ht="15.75" customHeight="1" s="169">
      <c r="A362" s="186" t="inlineStr">
        <is>
          <t xml:space="preserve">  - Revenue</t>
        </is>
      </c>
      <c r="E362" s="178">
        <f>E12</f>
        <v/>
      </c>
      <c r="F362" s="178">
        <f>F12</f>
        <v/>
      </c>
      <c r="G362" s="178">
        <f>G12</f>
        <v/>
      </c>
      <c r="H362" s="178">
        <f>H12</f>
        <v/>
      </c>
      <c r="I362" s="178">
        <f>I12</f>
        <v/>
      </c>
      <c r="J362" s="178">
        <f>J12</f>
        <v/>
      </c>
    </row>
    <row r="363" ht="15.75" customHeight="1" s="169">
      <c r="A363" s="171" t="inlineStr">
        <is>
          <t xml:space="preserve">  Closing backlog</t>
        </is>
      </c>
      <c r="E363" s="238">
        <f>E360+E361-E362</f>
        <v/>
      </c>
      <c r="F363" s="238">
        <f>F360+F361-F362</f>
        <v/>
      </c>
      <c r="G363" s="238">
        <f>G360+G361-G362</f>
        <v/>
      </c>
      <c r="H363" s="238">
        <f>H360+H361-H362</f>
        <v/>
      </c>
      <c r="I363" s="238">
        <f>I360+I361-I362</f>
        <v/>
      </c>
      <c r="J363" s="238">
        <f>J360+J361-J362</f>
        <v/>
      </c>
    </row>
    <row r="364" ht="15.75" customHeight="1" s="169">
      <c r="A364" s="186" t="inlineStr">
        <is>
          <t xml:space="preserve">  Backlog growth</t>
        </is>
      </c>
      <c r="E364" s="236">
        <f>(E363-E360)/E360</f>
        <v/>
      </c>
      <c r="F364" s="236">
        <f>(F363-F360)/F360</f>
        <v/>
      </c>
      <c r="G364" s="236">
        <f>(G363-G360)/G360</f>
        <v/>
      </c>
      <c r="H364" s="236">
        <f>(H363-H360)/H360</f>
        <v/>
      </c>
      <c r="I364" s="236">
        <f>(I363-I360)/I360</f>
        <v/>
      </c>
      <c r="J364" s="236">
        <f>(J363-J360)/J360</f>
        <v/>
      </c>
    </row>
    <row r="365" ht="15.75" customHeight="1" s="169">
      <c r="A365" s="186" t="inlineStr">
        <is>
          <t xml:space="preserve">  Book to bill</t>
        </is>
      </c>
      <c r="E365" s="247">
        <f>E361/E362</f>
        <v/>
      </c>
      <c r="F365" s="247">
        <f>F361/F362</f>
        <v/>
      </c>
      <c r="G365" s="247">
        <f>G361/G362</f>
        <v/>
      </c>
      <c r="H365" s="247">
        <f>H361/H362</f>
        <v/>
      </c>
      <c r="I365" s="247">
        <f>I361/I362</f>
        <v/>
      </c>
      <c r="J365" s="247">
        <f>J361/J362</f>
        <v/>
      </c>
    </row>
    <row r="366" ht="15.75" customHeight="1" s="169">
      <c r="A366" s="186" t="inlineStr">
        <is>
          <t xml:space="preserve">  Closing backlog / next year revenue</t>
        </is>
      </c>
      <c r="E366" s="247">
        <f>E363/F362</f>
        <v/>
      </c>
      <c r="F366" s="247">
        <f>F363/G362</f>
        <v/>
      </c>
      <c r="G366" s="247">
        <f>G363/H362</f>
        <v/>
      </c>
      <c r="H366" s="247">
        <f>H363/I362</f>
        <v/>
      </c>
      <c r="I366" s="247">
        <f>I363/J362</f>
        <v/>
      </c>
    </row>
    <row r="368" ht="15.75" customHeight="1" s="169">
      <c r="A368" s="171" t="inlineStr">
        <is>
          <t>Total backlog</t>
        </is>
      </c>
      <c r="E368" s="238">
        <f>E345+E354+E363</f>
        <v/>
      </c>
      <c r="F368" s="238">
        <f>F345+F354+F363</f>
        <v/>
      </c>
      <c r="G368" s="238">
        <f>G345+G354+G363</f>
        <v/>
      </c>
      <c r="H368" s="238">
        <f>H345+H354+H363</f>
        <v/>
      </c>
      <c r="I368" s="238">
        <f>I345+I354+I363</f>
        <v/>
      </c>
      <c r="J368" s="238">
        <f>J345+J354+J363</f>
        <v/>
      </c>
    </row>
    <row r="369" ht="15.75" customHeight="1" s="169">
      <c r="A369" s="168" t="inlineStr">
        <is>
          <t xml:space="preserve">  growth</t>
        </is>
      </c>
      <c r="F369" s="236">
        <f>(F368-E368)/E368</f>
        <v/>
      </c>
      <c r="G369" s="236">
        <f>(G368-F368)/F368</f>
        <v/>
      </c>
      <c r="H369" s="236">
        <f>(H368-G368)/G368</f>
        <v/>
      </c>
      <c r="I369" s="236">
        <f>(I368-H368)/H368</f>
        <v/>
      </c>
      <c r="J369" s="236">
        <f>(J368-I368)/I368</f>
        <v/>
      </c>
    </row>
    <row r="370" ht="15.75" customHeight="1" s="169">
      <c r="A370" s="168" t="inlineStr">
        <is>
          <t xml:space="preserve">  Americas share of backlog</t>
        </is>
      </c>
      <c r="E370" s="236">
        <f>E345/E368</f>
        <v/>
      </c>
      <c r="F370" s="236">
        <f>F345/F368</f>
        <v/>
      </c>
      <c r="G370" s="236">
        <f>G345/G368</f>
        <v/>
      </c>
      <c r="H370" s="236">
        <f>H345/H368</f>
        <v/>
      </c>
      <c r="I370" s="236">
        <f>I345/I368</f>
        <v/>
      </c>
      <c r="J370" s="236">
        <f>J345/J368</f>
        <v/>
      </c>
    </row>
  </sheetData>
  <mergeCells count="2">
    <mergeCell ref="F4:J4"/>
    <mergeCell ref="B4:E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50"/>
  <sheetViews>
    <sheetView showFormulas="0" showGridLines="1" showRowColHeaders="1" showZeros="1" rightToLeft="0" tabSelected="1" showOutlineSymbols="1" defaultGridColor="1" view="normal" topLeftCell="A1" colorId="64" zoomScale="132" zoomScaleNormal="132" zoomScalePageLayoutView="100" workbookViewId="0">
      <pane xSplit="1" ySplit="5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F38" activeCellId="0" sqref="F38"/>
    </sheetView>
  </sheetViews>
  <sheetFormatPr baseColWidth="8" defaultColWidth="8.50390625" defaultRowHeight="12.75" zeroHeight="0" outlineLevelRow="0"/>
  <cols>
    <col width="45" customWidth="1" style="248" min="1" max="1"/>
    <col width="11" customWidth="1" style="248" min="2" max="10"/>
    <col width="3" customWidth="1" style="248" min="11" max="11"/>
    <col width="9" customWidth="1" style="248" min="12" max="12"/>
    <col width="8.5" customWidth="1" style="248" min="13" max="16384"/>
  </cols>
  <sheetData>
    <row r="1" ht="17.25" customHeight="1" s="169">
      <c r="A1" s="249" t="inlineStr">
        <is>
          <t>Eaton Corporation (NYSE: ETN): Income Statement</t>
        </is>
      </c>
      <c r="B1" s="250" t="n"/>
      <c r="C1" s="250" t="n"/>
      <c r="D1" s="250" t="n"/>
      <c r="E1" s="250" t="n"/>
      <c r="F1" s="250" t="n"/>
      <c r="G1" s="250" t="n"/>
      <c r="H1" s="250" t="n"/>
      <c r="I1" s="250" t="n"/>
      <c r="J1" s="250" t="n"/>
      <c r="K1" s="250" t="n"/>
      <c r="L1" s="250" t="n"/>
    </row>
    <row r="2" ht="13.5" customHeight="1" s="169">
      <c r="A2" s="250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0" t="n"/>
      <c r="K2" s="250" t="n"/>
      <c r="L2" s="250" t="n"/>
    </row>
    <row r="3" ht="13.5" customHeight="1" s="169">
      <c r="A3" s="250" t="n"/>
      <c r="B3" s="250" t="n"/>
      <c r="C3" s="250" t="n"/>
      <c r="D3" s="250" t="n"/>
      <c r="E3" s="250" t="n"/>
      <c r="F3" s="250" t="n"/>
      <c r="G3" s="250" t="n"/>
      <c r="H3" s="250" t="n"/>
      <c r="I3" s="250" t="n"/>
      <c r="J3" s="250" t="n"/>
      <c r="K3" s="250" t="n"/>
      <c r="L3" s="250" t="n"/>
    </row>
    <row r="4" ht="13.5" customHeight="1" s="169">
      <c r="A4" s="250" t="n"/>
      <c r="B4" s="250" t="inlineStr">
        <is>
          <t>Historical</t>
        </is>
      </c>
      <c r="C4" s="250" t="n"/>
      <c r="D4" s="250" t="n"/>
      <c r="E4" s="250" t="n"/>
      <c r="F4" s="250" t="inlineStr">
        <is>
          <t>Projected</t>
        </is>
      </c>
      <c r="G4" s="250" t="n"/>
      <c r="H4" s="250" t="n"/>
      <c r="I4" s="250" t="n"/>
      <c r="J4" s="250" t="n"/>
      <c r="K4" s="250" t="n"/>
      <c r="L4" s="250" t="n"/>
    </row>
    <row r="5" ht="13.5" customHeight="1" s="169">
      <c r="A5" s="251" t="inlineStr">
        <is>
          <t>Fiscal year ending Dec 31 ($mm)</t>
        </is>
      </c>
      <c r="B5" s="252" t="inlineStr">
        <is>
          <t>2022A</t>
        </is>
      </c>
      <c r="C5" s="252" t="inlineStr">
        <is>
          <t>2023A</t>
        </is>
      </c>
      <c r="D5" s="252" t="inlineStr">
        <is>
          <t>2024A</t>
        </is>
      </c>
      <c r="E5" s="252" t="inlineStr">
        <is>
          <t>2025A</t>
        </is>
      </c>
      <c r="F5" s="252" t="inlineStr">
        <is>
          <t>2026E</t>
        </is>
      </c>
      <c r="G5" s="252" t="inlineStr">
        <is>
          <t>2027E</t>
        </is>
      </c>
      <c r="H5" s="252" t="inlineStr">
        <is>
          <t>2028E</t>
        </is>
      </c>
      <c r="I5" s="252" t="inlineStr">
        <is>
          <t>2029E</t>
        </is>
      </c>
      <c r="J5" s="252" t="inlineStr">
        <is>
          <t>2030E</t>
        </is>
      </c>
      <c r="K5" s="250" t="n"/>
      <c r="L5" s="250" t="n"/>
    </row>
    <row r="6" ht="13.5" customHeight="1" s="169">
      <c r="A6" s="250" t="n"/>
      <c r="B6" s="250" t="n"/>
      <c r="C6" s="250" t="n"/>
      <c r="D6" s="250" t="n"/>
      <c r="E6" s="250" t="n"/>
      <c r="F6" s="250" t="n"/>
      <c r="G6" s="250" t="n"/>
      <c r="H6" s="250" t="n"/>
      <c r="I6" s="250" t="n"/>
      <c r="J6" s="250" t="n"/>
      <c r="K6" s="250" t="n"/>
      <c r="L6" s="250" t="n"/>
    </row>
    <row r="7" ht="13.5" customHeight="1" s="169">
      <c r="A7" s="250" t="inlineStr">
        <is>
          <t>Income statement</t>
        </is>
      </c>
      <c r="B7" s="250" t="n"/>
      <c r="C7" s="250" t="n"/>
      <c r="D7" s="250" t="n"/>
      <c r="E7" s="250" t="n"/>
      <c r="F7" s="250" t="n"/>
      <c r="G7" s="250" t="n"/>
      <c r="H7" s="250" t="n"/>
      <c r="I7" s="250" t="n"/>
      <c r="J7" s="250" t="n"/>
      <c r="K7" s="250" t="n"/>
      <c r="L7" s="250" t="n"/>
    </row>
    <row r="8" ht="13.5" customHeight="1" s="169">
      <c r="A8" s="250" t="inlineStr">
        <is>
          <t>Net sales</t>
        </is>
      </c>
      <c r="B8" s="253" t="n">
        <v>20752</v>
      </c>
      <c r="C8" s="253" t="n">
        <v>23196</v>
      </c>
      <c r="D8" s="253" t="n">
        <v>24878</v>
      </c>
      <c r="E8" s="253" t="n">
        <v>27448</v>
      </c>
      <c r="F8" s="254">
        <f>Revenue!F15</f>
        <v/>
      </c>
      <c r="G8" s="254">
        <f>Revenue!G15</f>
        <v/>
      </c>
      <c r="H8" s="254">
        <f>Revenue!H15</f>
        <v/>
      </c>
      <c r="I8" s="254">
        <f>Revenue!I15</f>
        <v/>
      </c>
      <c r="J8" s="254">
        <f>Revenue!J15</f>
        <v/>
      </c>
      <c r="K8" s="250" t="n"/>
      <c r="L8" s="250" t="n"/>
    </row>
    <row r="9" ht="13.5" customHeight="1" s="169">
      <c r="A9" s="250" t="inlineStr">
        <is>
          <t xml:space="preserve">  growth YoY</t>
        </is>
      </c>
      <c r="B9" s="250" t="n"/>
      <c r="C9" s="255">
        <f>IF(B8=0,0,C8/B8-1)</f>
        <v/>
      </c>
      <c r="D9" s="255">
        <f>IF(C8=0,0,D8/C8-1)</f>
        <v/>
      </c>
      <c r="E9" s="255">
        <f>IF(D8=0,0,E8/D8-1)</f>
        <v/>
      </c>
      <c r="F9" s="255">
        <f>(F8-E8)/E8</f>
        <v/>
      </c>
      <c r="G9" s="255">
        <f>(G8-F8)/F8</f>
        <v/>
      </c>
      <c r="H9" s="255">
        <f>(H8-G8)/G8</f>
        <v/>
      </c>
      <c r="I9" s="255">
        <f>(I8-H8)/H8</f>
        <v/>
      </c>
      <c r="J9" s="255">
        <f>(J8-I8)/I8</f>
        <v/>
      </c>
      <c r="K9" s="250" t="n"/>
      <c r="L9" s="250" t="n"/>
    </row>
    <row r="10" ht="13.5" customHeight="1" s="169">
      <c r="A10" s="250" t="inlineStr">
        <is>
          <t>Cost of products sold</t>
        </is>
      </c>
      <c r="B10" s="253" t="n">
        <v>13865</v>
      </c>
      <c r="C10" s="253" t="n">
        <v>14762</v>
      </c>
      <c r="D10" s="253" t="n">
        <v>15375</v>
      </c>
      <c r="E10" s="253" t="n">
        <v>17131</v>
      </c>
      <c r="F10" s="254">
        <f>F8*F11</f>
        <v/>
      </c>
      <c r="G10" s="254">
        <f>G8*G11</f>
        <v/>
      </c>
      <c r="H10" s="254">
        <f>H8*H11</f>
        <v/>
      </c>
      <c r="I10" s="254">
        <f>I8*I11</f>
        <v/>
      </c>
      <c r="J10" s="254">
        <f>J8*J11</f>
        <v/>
      </c>
      <c r="K10" s="250" t="n"/>
      <c r="L10" s="250" t="n"/>
    </row>
    <row r="11" ht="13.5" customHeight="1" s="169">
      <c r="A11" s="250" t="inlineStr">
        <is>
          <t>% of Net Sales</t>
        </is>
      </c>
      <c r="B11" s="256">
        <f>B10/B8</f>
        <v/>
      </c>
      <c r="C11" s="256">
        <f>C10/C8</f>
        <v/>
      </c>
      <c r="D11" s="256">
        <f>D10/D8</f>
        <v/>
      </c>
      <c r="E11" s="256">
        <f>E10/E8</f>
        <v/>
      </c>
      <c r="F11" s="256">
        <f>AVERAGE(B11:E11)</f>
        <v/>
      </c>
      <c r="G11" s="256">
        <f>AVERAGE(C11:F11)</f>
        <v/>
      </c>
      <c r="H11" s="256">
        <f>AVERAGE(D11:G11)</f>
        <v/>
      </c>
      <c r="I11" s="256">
        <f>AVERAGE(E11:H11)</f>
        <v/>
      </c>
      <c r="J11" s="256">
        <f>AVERAGE(F11:I11)</f>
        <v/>
      </c>
      <c r="K11" s="250" t="n"/>
      <c r="L11" s="250" t="n"/>
    </row>
    <row r="12" ht="13.5" customHeight="1" s="169">
      <c r="A12" s="250" t="inlineStr">
        <is>
          <t>Gross profit</t>
        </is>
      </c>
      <c r="B12" s="257">
        <f>B8-B10</f>
        <v/>
      </c>
      <c r="C12" s="257">
        <f>C8-C10</f>
        <v/>
      </c>
      <c r="D12" s="257">
        <f>D8-D10</f>
        <v/>
      </c>
      <c r="E12" s="257">
        <f>E8-E10</f>
        <v/>
      </c>
      <c r="F12" s="257">
        <f>F8-F10</f>
        <v/>
      </c>
      <c r="G12" s="257">
        <f>G8-G10</f>
        <v/>
      </c>
      <c r="H12" s="257">
        <f>H8-H10</f>
        <v/>
      </c>
      <c r="I12" s="257">
        <f>I8-I10</f>
        <v/>
      </c>
      <c r="J12" s="257">
        <f>J8-J10</f>
        <v/>
      </c>
      <c r="K12" s="250" t="n"/>
      <c r="L12" s="250" t="n"/>
    </row>
    <row r="13" ht="13.5" customHeight="1" s="169">
      <c r="A13" s="250" t="inlineStr">
        <is>
          <t>Selling and administrative expense</t>
        </is>
      </c>
      <c r="B13" s="253" t="n">
        <v>3227</v>
      </c>
      <c r="C13" s="253" t="n">
        <v>3795</v>
      </c>
      <c r="D13" s="253" t="n">
        <v>4077</v>
      </c>
      <c r="E13" s="253" t="n">
        <v>4311</v>
      </c>
      <c r="F13" s="254">
        <f>F12*F14</f>
        <v/>
      </c>
      <c r="G13" s="254">
        <f>G12*G14</f>
        <v/>
      </c>
      <c r="H13" s="254">
        <f>H12*H14</f>
        <v/>
      </c>
      <c r="I13" s="254">
        <f>I12*I14</f>
        <v/>
      </c>
      <c r="J13" s="254">
        <f>J12*J14</f>
        <v/>
      </c>
      <c r="K13" s="250" t="n"/>
      <c r="L13" s="250" t="n"/>
    </row>
    <row r="14" ht="15.75" customHeight="1" s="169">
      <c r="A14" s="250" t="inlineStr">
        <is>
          <t>% of Gross Profit</t>
        </is>
      </c>
      <c r="B14" s="256">
        <f>B13/B12</f>
        <v/>
      </c>
      <c r="C14" s="256">
        <f>C13/C12</f>
        <v/>
      </c>
      <c r="D14" s="256">
        <f>D13/D12</f>
        <v/>
      </c>
      <c r="E14" s="256">
        <f>E13/E12</f>
        <v/>
      </c>
      <c r="F14" s="256">
        <f>AVERAGE(B14:E14)</f>
        <v/>
      </c>
      <c r="G14" s="256" t="n">
        <v>0.44135120802088</v>
      </c>
      <c r="H14" s="256" t="n">
        <v>0.44135120802088</v>
      </c>
      <c r="I14" s="256" t="n">
        <v>0.44135120802088</v>
      </c>
      <c r="J14" s="256" t="n">
        <v>0.44135120802088</v>
      </c>
      <c r="K14" s="250" t="n"/>
      <c r="L14" s="250" t="n"/>
    </row>
    <row r="15" ht="13.5" customHeight="1" s="169">
      <c r="A15" s="250" t="inlineStr">
        <is>
          <t>Research and development expense</t>
        </is>
      </c>
      <c r="B15" s="253" t="n">
        <v>665</v>
      </c>
      <c r="C15" s="253" t="n">
        <v>754</v>
      </c>
      <c r="D15" s="253" t="n">
        <v>794</v>
      </c>
      <c r="E15" s="253" t="n">
        <v>797</v>
      </c>
      <c r="F15" s="254">
        <f>AVERAGE(B15:E15)</f>
        <v/>
      </c>
      <c r="G15" s="254">
        <f>AVERAGE(C15:F15)</f>
        <v/>
      </c>
      <c r="H15" s="254">
        <f>AVERAGE(D15:G15)</f>
        <v/>
      </c>
      <c r="I15" s="254">
        <f>AVERAGE(E15:H15)</f>
        <v/>
      </c>
      <c r="J15" s="254">
        <f>AVERAGE(F15:I15)</f>
        <v/>
      </c>
      <c r="K15" s="250" t="n"/>
      <c r="L15" s="250" t="n"/>
    </row>
    <row r="16" ht="13.5" customHeight="1" s="169">
      <c r="A16" s="250" t="inlineStr">
        <is>
          <t>Operating income (EBIT, before other items)</t>
        </is>
      </c>
      <c r="B16" s="257">
        <f>B12-B13-B15</f>
        <v/>
      </c>
      <c r="C16" s="257">
        <f>C12-C13-C15</f>
        <v/>
      </c>
      <c r="D16" s="257">
        <f>D12-D13-D15</f>
        <v/>
      </c>
      <c r="E16" s="257">
        <f>E12-E13-E15</f>
        <v/>
      </c>
      <c r="F16" s="257">
        <f>F12-F13-F15</f>
        <v/>
      </c>
      <c r="G16" s="257">
        <f>G12-G13-G15</f>
        <v/>
      </c>
      <c r="H16" s="257">
        <f>H12-H13-H15</f>
        <v/>
      </c>
      <c r="I16" s="257">
        <f>I12-I13-I15</f>
        <v/>
      </c>
      <c r="J16" s="257">
        <f>J12-J13-J15</f>
        <v/>
      </c>
      <c r="K16" s="250" t="n"/>
      <c r="L16" s="250" t="n"/>
    </row>
    <row r="17" ht="13.5" customHeight="1" s="169">
      <c r="A17" s="250" t="inlineStr">
        <is>
          <t>Interest expense - net</t>
        </is>
      </c>
      <c r="B17" s="253" t="n">
        <v>144</v>
      </c>
      <c r="C17" s="253" t="n">
        <v>151</v>
      </c>
      <c r="D17" s="253" t="n">
        <v>130</v>
      </c>
      <c r="E17" s="253" t="n">
        <v>241</v>
      </c>
      <c r="F17" s="254">
        <f>AVERAGE(B17:E17)</f>
        <v/>
      </c>
      <c r="G17" s="254">
        <f>AVERAGE(C17:F17)</f>
        <v/>
      </c>
      <c r="H17" s="254">
        <f>AVERAGE(D17:G17)</f>
        <v/>
      </c>
      <c r="I17" s="254">
        <f>AVERAGE(E17:H17)</f>
        <v/>
      </c>
      <c r="J17" s="254">
        <f>AVERAGE(F17:I17)</f>
        <v/>
      </c>
      <c r="K17" s="250" t="n"/>
      <c r="L17" s="250" t="n"/>
    </row>
    <row r="18" ht="13.5" customHeight="1" s="169">
      <c r="A18" s="250" t="inlineStr">
        <is>
          <t>Gain on sale of business</t>
        </is>
      </c>
      <c r="B18" s="253" t="n">
        <v>24</v>
      </c>
      <c r="C18" s="253" t="n">
        <v>0</v>
      </c>
      <c r="D18" s="253" t="n">
        <v>0</v>
      </c>
      <c r="E18" s="253" t="n">
        <v>0</v>
      </c>
      <c r="F18" s="254" t="n"/>
      <c r="G18" s="254" t="n"/>
      <c r="H18" s="254" t="n"/>
      <c r="I18" s="254" t="n"/>
      <c r="J18" s="254" t="n"/>
      <c r="K18" s="250" t="n"/>
      <c r="L18" s="250" t="n"/>
    </row>
    <row r="19" ht="13.5" customHeight="1" s="169">
      <c r="A19" s="250" t="inlineStr">
        <is>
          <t>Other expense (income) - net</t>
        </is>
      </c>
      <c r="B19" s="253" t="n">
        <v>-36</v>
      </c>
      <c r="C19" s="253" t="n">
        <v>-93</v>
      </c>
      <c r="D19" s="253" t="n">
        <v>-64</v>
      </c>
      <c r="E19" s="253" t="n">
        <v>37</v>
      </c>
      <c r="F19" s="254">
        <f>AVERAGE(B19:E19)</f>
        <v/>
      </c>
      <c r="G19" s="254">
        <f>AVERAGE(C19:F19)</f>
        <v/>
      </c>
      <c r="H19" s="254">
        <f>AVERAGE(D19:G19)</f>
        <v/>
      </c>
      <c r="I19" s="254">
        <f>AVERAGE(E19:H19)</f>
        <v/>
      </c>
      <c r="J19" s="254">
        <f>AVERAGE(F19:I19)</f>
        <v/>
      </c>
      <c r="K19" s="250" t="n"/>
      <c r="L19" s="250" t="n"/>
    </row>
    <row r="20" ht="13.5" customHeight="1" s="169">
      <c r="A20" s="250" t="inlineStr">
        <is>
          <t>Income before income taxes</t>
        </is>
      </c>
      <c r="B20" s="258" t="n">
        <v>2911</v>
      </c>
      <c r="C20" s="258" t="n">
        <v>3827</v>
      </c>
      <c r="D20" s="258" t="n">
        <v>4566</v>
      </c>
      <c r="E20" s="258" t="n">
        <v>4932</v>
      </c>
      <c r="F20" s="257">
        <f>F16+F17-F19</f>
        <v/>
      </c>
      <c r="G20" s="257">
        <f>G16+G17-G19</f>
        <v/>
      </c>
      <c r="H20" s="257">
        <f>H16+H17-H19</f>
        <v/>
      </c>
      <c r="I20" s="257">
        <f>I16+I17-I19</f>
        <v/>
      </c>
      <c r="J20" s="257">
        <f>J16+J17-J19</f>
        <v/>
      </c>
      <c r="K20" s="250" t="n"/>
      <c r="L20" s="250" t="n"/>
    </row>
    <row r="21" ht="13.5" customHeight="1" s="169">
      <c r="A21" s="250" t="inlineStr">
        <is>
          <t>Income tax expense</t>
        </is>
      </c>
      <c r="B21" s="253" t="n">
        <v>445</v>
      </c>
      <c r="C21" s="253" t="n">
        <v>604</v>
      </c>
      <c r="D21" s="253" t="n">
        <v>768</v>
      </c>
      <c r="E21" s="253" t="n">
        <v>841</v>
      </c>
      <c r="F21" s="254">
        <f>F20*F22</f>
        <v/>
      </c>
      <c r="G21" s="254">
        <f>G20*G22</f>
        <v/>
      </c>
      <c r="H21" s="254">
        <f>H20*H22</f>
        <v/>
      </c>
      <c r="I21" s="254">
        <f>I20*I22</f>
        <v/>
      </c>
      <c r="J21" s="254">
        <f>J20*J22</f>
        <v/>
      </c>
      <c r="K21" s="250" t="n"/>
      <c r="L21" s="250" t="n"/>
    </row>
    <row r="22" ht="15.75" customHeight="1" s="169">
      <c r="A22" s="250" t="inlineStr">
        <is>
          <t>Tax %</t>
        </is>
      </c>
      <c r="B22" s="256">
        <f>B21/B20</f>
        <v/>
      </c>
      <c r="C22" s="256">
        <f>C21/C20</f>
        <v/>
      </c>
      <c r="D22" s="256">
        <f>D21/D20</f>
        <v/>
      </c>
      <c r="E22" s="256">
        <f>E21/E20</f>
        <v/>
      </c>
      <c r="F22" s="256">
        <f>E22</f>
        <v/>
      </c>
      <c r="G22" s="256">
        <f>F22</f>
        <v/>
      </c>
      <c r="H22" s="256">
        <f>G22</f>
        <v/>
      </c>
      <c r="I22" s="256">
        <f>H22</f>
        <v/>
      </c>
      <c r="J22" s="256">
        <f>I22</f>
        <v/>
      </c>
      <c r="K22" s="256" t="n"/>
      <c r="L22" s="250" t="n"/>
    </row>
    <row r="23" ht="13.5" customHeight="1" s="169">
      <c r="A23" s="250" t="inlineStr">
        <is>
          <t>Net income</t>
        </is>
      </c>
      <c r="B23" s="258" t="n">
        <v>2465</v>
      </c>
      <c r="C23" s="258" t="n">
        <v>3223</v>
      </c>
      <c r="D23" s="258" t="n">
        <v>3798</v>
      </c>
      <c r="E23" s="258" t="n">
        <v>4090</v>
      </c>
      <c r="F23" s="257">
        <f>F20-F21</f>
        <v/>
      </c>
      <c r="G23" s="257">
        <f>G20-G21</f>
        <v/>
      </c>
      <c r="H23" s="257">
        <f>H20-H21</f>
        <v/>
      </c>
      <c r="I23" s="257">
        <f>I20-I21</f>
        <v/>
      </c>
      <c r="J23" s="257">
        <f>J20-J21</f>
        <v/>
      </c>
      <c r="K23" s="250" t="n"/>
      <c r="L23" s="250" t="n"/>
    </row>
    <row r="24" ht="13.5" customHeight="1" s="169">
      <c r="A24" s="250" t="inlineStr">
        <is>
          <t>Less net income for noncontrolling interests</t>
        </is>
      </c>
      <c r="B24" s="253" t="n">
        <v>4</v>
      </c>
      <c r="C24" s="253" t="n">
        <v>5</v>
      </c>
      <c r="D24" s="253" t="n">
        <v>4</v>
      </c>
      <c r="E24" s="253" t="n">
        <v>3</v>
      </c>
      <c r="F24" s="254">
        <f>3</f>
        <v/>
      </c>
      <c r="G24" s="254">
        <f>3</f>
        <v/>
      </c>
      <c r="H24" s="254">
        <f>3</f>
        <v/>
      </c>
      <c r="I24" s="254">
        <f>3</f>
        <v/>
      </c>
      <c r="J24" s="254">
        <f>3</f>
        <v/>
      </c>
      <c r="K24" s="250" t="n"/>
      <c r="L24" s="250" t="n"/>
    </row>
    <row r="25" ht="13.5" customHeight="1" s="169">
      <c r="A25" s="250" t="inlineStr">
        <is>
          <t>Net income attributable to Eaton shareholders</t>
        </is>
      </c>
      <c r="B25" s="258" t="n">
        <v>2462</v>
      </c>
      <c r="C25" s="258" t="n">
        <v>3218</v>
      </c>
      <c r="D25" s="258" t="n">
        <v>3794</v>
      </c>
      <c r="E25" s="258" t="n">
        <v>4087</v>
      </c>
      <c r="F25" s="257">
        <f>F23+F24</f>
        <v/>
      </c>
      <c r="G25" s="257">
        <f>G23+G24</f>
        <v/>
      </c>
      <c r="H25" s="257">
        <f>H23+H24</f>
        <v/>
      </c>
      <c r="I25" s="257">
        <f>I23+I24</f>
        <v/>
      </c>
      <c r="J25" s="257">
        <f>J23+J24</f>
        <v/>
      </c>
      <c r="K25" s="250" t="n"/>
      <c r="L25" s="250" t="n"/>
    </row>
    <row r="26" ht="13.5" customHeight="1" s="169">
      <c r="A26" s="250" t="n"/>
      <c r="B26" s="250" t="n"/>
      <c r="C26" s="250" t="n"/>
      <c r="D26" s="250" t="n"/>
      <c r="E26" s="250" t="n"/>
      <c r="F26" s="250" t="n"/>
      <c r="G26" s="250" t="n"/>
      <c r="H26" s="250" t="n"/>
      <c r="I26" s="250" t="n"/>
      <c r="J26" s="250" t="n"/>
      <c r="K26" s="250" t="n"/>
      <c r="L26" s="250" t="n"/>
    </row>
    <row r="27" ht="13.5" customHeight="1" s="169">
      <c r="A27" s="250" t="inlineStr">
        <is>
          <t>Per share</t>
        </is>
      </c>
      <c r="B27" s="250" t="n"/>
      <c r="C27" s="250" t="n"/>
      <c r="D27" s="250" t="n"/>
      <c r="E27" s="250" t="n"/>
      <c r="F27" s="250" t="n"/>
      <c r="G27" s="250" t="n"/>
      <c r="H27" s="250" t="n"/>
      <c r="I27" s="250" t="n"/>
      <c r="J27" s="250" t="n"/>
      <c r="K27" s="250" t="n"/>
      <c r="L27" s="250" t="n"/>
    </row>
    <row r="28" ht="13.5" customHeight="1" s="169">
      <c r="A28" s="250" t="inlineStr">
        <is>
          <t>Weighted avg shares - basic (mm)</t>
        </is>
      </c>
      <c r="B28" s="259" t="n">
        <v>398.7</v>
      </c>
      <c r="C28" s="259" t="n">
        <v>399.1</v>
      </c>
      <c r="D28" s="259" t="n">
        <v>397.6</v>
      </c>
      <c r="E28" s="259" t="n">
        <v>389.9</v>
      </c>
      <c r="F28" s="260">
        <f>E28</f>
        <v/>
      </c>
      <c r="G28" s="260">
        <f>F28</f>
        <v/>
      </c>
      <c r="H28" s="260">
        <f>G28</f>
        <v/>
      </c>
      <c r="I28" s="260">
        <f>H28</f>
        <v/>
      </c>
      <c r="J28" s="260">
        <f>I28</f>
        <v/>
      </c>
      <c r="K28" s="250" t="n"/>
      <c r="L28" s="250" t="n"/>
    </row>
    <row r="29" ht="13.5" customHeight="1" s="169">
      <c r="A29" s="250" t="inlineStr">
        <is>
          <t>Weighted avg shares - diluted (mm)</t>
        </is>
      </c>
      <c r="B29" s="259" t="n">
        <v>400.8</v>
      </c>
      <c r="C29" s="259" t="n">
        <v>401.1</v>
      </c>
      <c r="D29" s="259" t="n">
        <v>399.4</v>
      </c>
      <c r="E29" s="259" t="n">
        <v>391.2</v>
      </c>
      <c r="F29" s="260">
        <f>E29</f>
        <v/>
      </c>
      <c r="G29" s="260">
        <f>F29</f>
        <v/>
      </c>
      <c r="H29" s="260">
        <f>G29</f>
        <v/>
      </c>
      <c r="I29" s="260">
        <f>H29</f>
        <v/>
      </c>
      <c r="J29" s="260">
        <f>I29</f>
        <v/>
      </c>
      <c r="K29" s="250" t="n"/>
      <c r="L29" s="250" t="n"/>
    </row>
    <row r="30" ht="13.5" customHeight="1" s="169">
      <c r="A30" s="250" t="inlineStr">
        <is>
          <t>EPS - basic</t>
        </is>
      </c>
      <c r="B30" s="261">
        <f>IF(B28=0,0,B25/B28)</f>
        <v/>
      </c>
      <c r="C30" s="261">
        <f>IF(C28=0,0,C25/C28)</f>
        <v/>
      </c>
      <c r="D30" s="261">
        <f>IF(D28=0,0,D25/D28)</f>
        <v/>
      </c>
      <c r="E30" s="261">
        <f>IF(E28=0,0,E25/E28)</f>
        <v/>
      </c>
      <c r="F30" s="261">
        <f>F25/F29</f>
        <v/>
      </c>
      <c r="G30" s="261">
        <f>G25/G29</f>
        <v/>
      </c>
      <c r="H30" s="261">
        <f>H25/H29</f>
        <v/>
      </c>
      <c r="I30" s="261">
        <f>I25/I29</f>
        <v/>
      </c>
      <c r="J30" s="261">
        <f>J25/J29</f>
        <v/>
      </c>
      <c r="K30" s="250" t="n"/>
      <c r="L30" s="250" t="n"/>
    </row>
    <row r="31" ht="13.5" customHeight="1" s="169">
      <c r="A31" s="250" t="inlineStr">
        <is>
          <t>EPS - diluted</t>
        </is>
      </c>
      <c r="B31" s="261">
        <f>IF(B29=0,0,B25/B29)</f>
        <v/>
      </c>
      <c r="C31" s="261">
        <f>IF(C29=0,0,C25/C29)</f>
        <v/>
      </c>
      <c r="D31" s="261">
        <f>IF(D29=0,0,D25/D29)</f>
        <v/>
      </c>
      <c r="E31" s="261">
        <f>IF(E29=0,0,E25/E29)</f>
        <v/>
      </c>
      <c r="F31" s="261">
        <f>F25/F29</f>
        <v/>
      </c>
      <c r="G31" s="261">
        <f>G25/G29</f>
        <v/>
      </c>
      <c r="H31" s="261">
        <f>H25/H29</f>
        <v/>
      </c>
      <c r="I31" s="261">
        <f>I25/I29</f>
        <v/>
      </c>
      <c r="J31" s="261">
        <f>J25/J29</f>
        <v/>
      </c>
      <c r="K31" s="250" t="n"/>
      <c r="L31" s="250" t="n"/>
    </row>
    <row r="32" ht="13.5" customHeight="1" s="169">
      <c r="A32" s="250" t="inlineStr">
        <is>
          <t>Dividends declared per share</t>
        </is>
      </c>
      <c r="B32" s="262" t="n">
        <v>3.24</v>
      </c>
      <c r="C32" s="262" t="n">
        <v>3.44</v>
      </c>
      <c r="D32" s="262" t="n">
        <v>3.76</v>
      </c>
      <c r="E32" s="262" t="n">
        <v>4.16</v>
      </c>
      <c r="F32" s="261">
        <f>E32*(1+E33)</f>
        <v/>
      </c>
      <c r="G32" s="261">
        <f>F32*(1+F33)</f>
        <v/>
      </c>
      <c r="H32" s="261">
        <f>G32*(1+G33)</f>
        <v/>
      </c>
      <c r="I32" s="261">
        <f>H32*(1+H33)</f>
        <v/>
      </c>
      <c r="J32" s="261">
        <f>I32*(1+I33)</f>
        <v/>
      </c>
      <c r="K32" s="250" t="n"/>
      <c r="L32" s="250" t="n"/>
    </row>
    <row r="33" ht="15.75" customHeight="1" s="169">
      <c r="A33" s="250" t="inlineStr">
        <is>
          <t xml:space="preserve">  %Growth</t>
        </is>
      </c>
      <c r="B33" s="250" t="n"/>
      <c r="C33" s="256">
        <f>(C32-C32)/B32</f>
        <v/>
      </c>
      <c r="D33" s="256">
        <f>(D32-D32)/C32</f>
        <v/>
      </c>
      <c r="E33" s="263">
        <f>(E32-D32)/D32</f>
        <v/>
      </c>
      <c r="F33" s="256" t="n">
        <v>0.1064</v>
      </c>
      <c r="G33" s="256" t="n">
        <v>0.1064</v>
      </c>
      <c r="H33" s="256" t="n">
        <v>0.1064</v>
      </c>
      <c r="I33" s="256" t="n">
        <v>0.1063</v>
      </c>
      <c r="J33" s="256" t="n">
        <v>0.1064</v>
      </c>
      <c r="K33" s="250" t="n"/>
      <c r="L33" s="250" t="n"/>
    </row>
    <row r="34" ht="13.5" customHeight="1" s="169">
      <c r="A34" s="250" t="inlineStr">
        <is>
          <t>Margins</t>
        </is>
      </c>
      <c r="B34" s="250" t="n"/>
      <c r="C34" s="250" t="n"/>
      <c r="D34" s="250" t="n"/>
      <c r="E34" s="250" t="n"/>
      <c r="F34" s="250" t="n"/>
      <c r="G34" s="250" t="n"/>
      <c r="H34" s="250" t="n"/>
      <c r="I34" s="250" t="n"/>
      <c r="J34" s="250" t="n"/>
      <c r="K34" s="250" t="n"/>
      <c r="L34" s="250" t="n"/>
    </row>
    <row r="35" ht="13.5" customHeight="1" s="169">
      <c r="A35" s="250" t="inlineStr">
        <is>
          <t>Gross margin</t>
        </is>
      </c>
      <c r="B35" s="255">
        <f>IF(B8=0,0,B12/B8)</f>
        <v/>
      </c>
      <c r="C35" s="255">
        <f>IF(C8=0,0,C12/C8)</f>
        <v/>
      </c>
      <c r="D35" s="255">
        <f>IF(D8=0,0,D12/D8)</f>
        <v/>
      </c>
      <c r="E35" s="255">
        <f>IF(E8=0,0,E12/E8)</f>
        <v/>
      </c>
      <c r="F35" s="255">
        <f>(F25)/F12</f>
        <v/>
      </c>
      <c r="G35" s="255">
        <f>(G25)/G12</f>
        <v/>
      </c>
      <c r="H35" s="255">
        <f>(H25)/H12</f>
        <v/>
      </c>
      <c r="I35" s="255">
        <f>(I25)/I12</f>
        <v/>
      </c>
      <c r="J35" s="255">
        <f>(J25)/J12</f>
        <v/>
      </c>
      <c r="K35" s="250" t="n"/>
      <c r="L35" s="250" t="n"/>
    </row>
    <row r="36" ht="13.5" customHeight="1" s="169">
      <c r="A36" s="250" t="inlineStr">
        <is>
          <t>EBIT margin</t>
        </is>
      </c>
      <c r="B36" s="255">
        <f>IF(B8=0,0,B16/B8)</f>
        <v/>
      </c>
      <c r="C36" s="255">
        <f>IF(C8=0,0,C16/C8)</f>
        <v/>
      </c>
      <c r="D36" s="255">
        <f>IF(D8=0,0,D16/D8)</f>
        <v/>
      </c>
      <c r="E36" s="255">
        <f>IF(E8=0,0,E16/E8)</f>
        <v/>
      </c>
      <c r="F36" s="255">
        <f>F16/F8</f>
        <v/>
      </c>
      <c r="G36" s="255">
        <f>G16/G8</f>
        <v/>
      </c>
      <c r="H36" s="255">
        <f>H16/H8</f>
        <v/>
      </c>
      <c r="I36" s="255">
        <f>I16/I8</f>
        <v/>
      </c>
      <c r="J36" s="255">
        <f>J16/J8</f>
        <v/>
      </c>
      <c r="K36" s="250" t="n"/>
      <c r="L36" s="250" t="n"/>
    </row>
    <row r="37" ht="13.5" customHeight="1" s="169">
      <c r="A37" s="250" t="inlineStr">
        <is>
          <t>Depreciation and amortization (from cash flow)</t>
        </is>
      </c>
      <c r="B37" s="254">
        <f>'Cash Flow'!B10</f>
        <v/>
      </c>
      <c r="C37" s="254">
        <f>'Cash Flow'!C10</f>
        <v/>
      </c>
      <c r="D37" s="254">
        <f>'Cash Flow'!D10</f>
        <v/>
      </c>
      <c r="E37" s="254">
        <f>'Cash Flow'!E10</f>
        <v/>
      </c>
      <c r="F37" s="254" t="n">
        <v>1090</v>
      </c>
      <c r="G37" s="254" t="n">
        <v>1200</v>
      </c>
      <c r="H37" s="254" t="n">
        <v>1290</v>
      </c>
      <c r="I37" s="254" t="n">
        <v>1350</v>
      </c>
      <c r="J37" s="254" t="n">
        <v>1280</v>
      </c>
      <c r="K37" s="250" t="n"/>
      <c r="L37" s="250" t="n"/>
    </row>
    <row r="38" ht="13.5" customHeight="1" s="169">
      <c r="A38" s="250" t="inlineStr">
        <is>
          <t>EBITDA</t>
        </is>
      </c>
      <c r="B38" s="254">
        <f>B16+B37</f>
        <v/>
      </c>
      <c r="C38" s="254">
        <f>C16+C37</f>
        <v/>
      </c>
      <c r="D38" s="254">
        <f>D16+D37</f>
        <v/>
      </c>
      <c r="E38" s="254">
        <f>E16+E37</f>
        <v/>
      </c>
      <c r="F38" s="254">
        <f>F16+F37</f>
        <v/>
      </c>
      <c r="G38" s="254">
        <f>G16+G37</f>
        <v/>
      </c>
      <c r="H38" s="254">
        <f>H16+H37</f>
        <v/>
      </c>
      <c r="I38" s="254">
        <f>I16+I37</f>
        <v/>
      </c>
      <c r="J38" s="254">
        <f>J16+J37</f>
        <v/>
      </c>
      <c r="K38" s="250" t="n"/>
      <c r="L38" s="250" t="n"/>
    </row>
    <row r="39" ht="13.5" customHeight="1" s="169">
      <c r="A39" s="250" t="inlineStr">
        <is>
          <t>EBITDA margin</t>
        </is>
      </c>
      <c r="B39" s="255">
        <f>IF(B8=0,0,B38/B8)</f>
        <v/>
      </c>
      <c r="C39" s="255">
        <f>IF(C8=0,0,C38/C8)</f>
        <v/>
      </c>
      <c r="D39" s="255">
        <f>IF(D8=0,0,D38/D8)</f>
        <v/>
      </c>
      <c r="E39" s="255">
        <f>IF(E8=0,0,E38/E8)</f>
        <v/>
      </c>
      <c r="F39" s="255">
        <f>F38/F8</f>
        <v/>
      </c>
      <c r="G39" s="255">
        <f>G38/G8</f>
        <v/>
      </c>
      <c r="H39" s="255">
        <f>H38/H8</f>
        <v/>
      </c>
      <c r="I39" s="255">
        <f>I38/I8</f>
        <v/>
      </c>
      <c r="J39" s="255">
        <f>J38/J8</f>
        <v/>
      </c>
      <c r="K39" s="250" t="n"/>
      <c r="L39" s="250" t="n"/>
    </row>
    <row r="40" ht="13.5" customHeight="1" s="169">
      <c r="A40" s="250" t="inlineStr">
        <is>
          <t>Effective tax rate</t>
        </is>
      </c>
      <c r="B40" s="255">
        <f>IF(B20=0,0,B21/B20)</f>
        <v/>
      </c>
      <c r="C40" s="255">
        <f>IF(C20=0,0,C21/C20)</f>
        <v/>
      </c>
      <c r="D40" s="255">
        <f>IF(D20=0,0,D21/D20)</f>
        <v/>
      </c>
      <c r="E40" s="255">
        <f>IF(E20=0,0,E21/E20)</f>
        <v/>
      </c>
      <c r="F40" s="255">
        <f>F22</f>
        <v/>
      </c>
      <c r="G40" s="255">
        <f>G22</f>
        <v/>
      </c>
      <c r="H40" s="255">
        <f>H22</f>
        <v/>
      </c>
      <c r="I40" s="255">
        <f>I22</f>
        <v/>
      </c>
      <c r="J40" s="255">
        <f>J22</f>
        <v/>
      </c>
      <c r="K40" s="250" t="n"/>
      <c r="L40" s="250" t="n"/>
    </row>
    <row r="41" ht="12.75" customHeight="1" s="169">
      <c r="A41" s="250" t="n"/>
      <c r="B41" s="250" t="n"/>
      <c r="C41" s="250" t="n"/>
      <c r="D41" s="250" t="n"/>
      <c r="E41" s="250" t="n"/>
      <c r="F41" s="250" t="n"/>
      <c r="G41" s="250" t="n"/>
      <c r="H41" s="250" t="n"/>
      <c r="I41" s="250" t="n"/>
      <c r="J41" s="250" t="n"/>
      <c r="K41" s="250" t="n"/>
      <c r="L41" s="250" t="n"/>
    </row>
    <row r="42" ht="12.75" customHeight="1" s="169">
      <c r="A42" s="250" t="n"/>
      <c r="B42" s="250" t="n"/>
      <c r="C42" s="250" t="n"/>
      <c r="D42" s="250" t="n"/>
      <c r="E42" s="250" t="n"/>
      <c r="F42" s="250" t="n"/>
      <c r="G42" s="250" t="n"/>
      <c r="H42" s="250" t="n"/>
      <c r="I42" s="250" t="n"/>
      <c r="J42" s="250" t="n"/>
      <c r="K42" s="250" t="n"/>
      <c r="L42" s="250" t="n"/>
    </row>
    <row r="43" ht="12.75" customHeight="1" s="169">
      <c r="A43" s="264" t="n"/>
      <c r="B43" s="254" t="n"/>
      <c r="C43" s="254" t="n"/>
      <c r="D43" s="254" t="n"/>
      <c r="E43" s="254" t="n"/>
      <c r="F43" s="254" t="n"/>
      <c r="G43" s="254" t="n"/>
      <c r="H43" s="254" t="n"/>
      <c r="I43" s="254" t="n"/>
      <c r="J43" s="254" t="n"/>
      <c r="K43" s="250" t="n"/>
      <c r="L43" s="250" t="n"/>
    </row>
    <row r="44" ht="12.75" customHeight="1" s="169">
      <c r="A44" s="264" t="n"/>
      <c r="B44" s="254" t="n"/>
      <c r="C44" s="254" t="n"/>
      <c r="D44" s="254" t="n"/>
      <c r="E44" s="254" t="n"/>
      <c r="F44" s="254" t="n"/>
      <c r="G44" s="254" t="n"/>
      <c r="H44" s="254" t="n"/>
      <c r="I44" s="254" t="n"/>
      <c r="J44" s="254" t="n"/>
      <c r="K44" s="250" t="n"/>
      <c r="L44" s="250" t="n"/>
    </row>
    <row r="45" ht="12.75" customHeight="1" s="169">
      <c r="A45" s="250" t="n"/>
      <c r="B45" s="250" t="n"/>
      <c r="C45" s="250" t="n"/>
      <c r="D45" s="250" t="n"/>
      <c r="E45" s="250" t="n"/>
      <c r="F45" s="250" t="n"/>
      <c r="G45" s="250" t="n"/>
      <c r="H45" s="250" t="n"/>
      <c r="I45" s="250" t="n"/>
      <c r="J45" s="250" t="n"/>
      <c r="K45" s="250" t="n"/>
      <c r="L45" s="250" t="n"/>
    </row>
    <row r="46" ht="12.75" customHeight="1" s="169">
      <c r="A46" s="250" t="n"/>
      <c r="B46" s="250" t="n"/>
      <c r="C46" s="250" t="n"/>
      <c r="D46" s="250" t="n"/>
      <c r="E46" s="250" t="n"/>
      <c r="F46" s="250" t="n"/>
      <c r="G46" s="250" t="n"/>
      <c r="H46" s="250" t="n"/>
      <c r="I46" s="250" t="n"/>
      <c r="J46" s="250" t="n"/>
      <c r="K46" s="250" t="n"/>
      <c r="L46" s="250" t="n"/>
    </row>
    <row r="47" ht="12.75" customHeight="1" s="169">
      <c r="A47" s="250" t="n"/>
      <c r="B47" s="250" t="n"/>
      <c r="C47" s="250" t="n"/>
      <c r="D47" s="250" t="n"/>
      <c r="E47" s="250" t="n"/>
      <c r="F47" s="250" t="n"/>
      <c r="G47" s="250" t="n"/>
      <c r="H47" s="250" t="n"/>
      <c r="I47" s="250" t="n"/>
      <c r="J47" s="250" t="n"/>
      <c r="K47" s="250" t="n"/>
      <c r="L47" s="250" t="n"/>
    </row>
    <row r="48" ht="12.75" customHeight="1" s="169">
      <c r="A48" s="250" t="n"/>
      <c r="B48" s="250" t="n"/>
      <c r="C48" s="250" t="n"/>
      <c r="D48" s="250" t="n"/>
      <c r="E48" s="250" t="n"/>
      <c r="F48" s="250" t="n"/>
      <c r="G48" s="250" t="n"/>
      <c r="H48" s="250" t="n"/>
      <c r="I48" s="250" t="n"/>
      <c r="J48" s="250" t="n"/>
      <c r="K48" s="250" t="n"/>
      <c r="L48" s="250" t="n"/>
    </row>
    <row r="49" ht="12.75" customHeight="1" s="169">
      <c r="A49" s="250" t="n"/>
      <c r="B49" s="250" t="n"/>
      <c r="C49" s="250" t="n"/>
      <c r="D49" s="250" t="n"/>
      <c r="E49" s="250" t="n"/>
      <c r="F49" s="250" t="n"/>
      <c r="G49" s="250" t="n"/>
      <c r="H49" s="250" t="n"/>
      <c r="I49" s="250" t="n"/>
      <c r="J49" s="250" t="n"/>
      <c r="K49" s="250" t="n"/>
      <c r="L49" s="250" t="n"/>
    </row>
    <row r="50" ht="12.75" customHeight="1" s="169">
      <c r="A50" s="250" t="n"/>
      <c r="B50" s="250" t="n"/>
      <c r="C50" s="250" t="n"/>
      <c r="D50" s="250" t="n"/>
      <c r="E50" s="250" t="n"/>
      <c r="F50" s="250" t="n"/>
      <c r="G50" s="250" t="n"/>
      <c r="H50" s="250" t="n"/>
      <c r="I50" s="250" t="n"/>
      <c r="J50" s="250" t="n"/>
      <c r="K50" s="250" t="n"/>
      <c r="L50" s="25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3"/>
  <sheetViews>
    <sheetView showFormulas="0" showGridLines="1" showRowColHeaders="1" showZeros="1" rightToLeft="0" tabSelected="0" showOutlineSymbols="1" defaultGridColor="1" view="normal" topLeftCell="A1" colorId="64" zoomScale="125" zoomScaleNormal="125" zoomScalePageLayoutView="100" workbookViewId="0">
      <selection pane="topLeft" activeCell="B42" activeCellId="0" sqref="B42"/>
    </sheetView>
  </sheetViews>
  <sheetFormatPr baseColWidth="8" defaultColWidth="10.484375" defaultRowHeight="15.75" zeroHeight="0" outlineLevelRow="0"/>
  <cols>
    <col width="38.33" customWidth="1" style="168" min="1" max="1"/>
    <col width="12.16" customWidth="1" style="168" min="2" max="5"/>
  </cols>
  <sheetData>
    <row r="1" ht="18" customHeight="1" s="169">
      <c r="A1" s="170" t="inlineStr">
        <is>
          <t xml:space="preserve">Eaton Corporation (NYSE: ETN) </t>
        </is>
      </c>
    </row>
    <row r="2" ht="15.75" customHeight="1" s="169">
      <c r="A2" s="171" t="inlineStr">
        <is>
          <t>Case (1 = Base, 2 = Street, 3 = Bull)</t>
        </is>
      </c>
      <c r="B2" s="172" t="n">
        <v>1</v>
      </c>
      <c r="C2" s="171">
        <f>CHOOSE($B$2,"Base","Street","Bull")</f>
        <v/>
      </c>
    </row>
    <row r="3" ht="15.75" customHeight="1" s="169">
      <c r="A3" s="173" t="inlineStr">
        <is>
          <t>Power Management Company</t>
        </is>
      </c>
      <c r="F3" s="168" t="n">
        <v>1</v>
      </c>
      <c r="G3" s="168" t="n">
        <v>2</v>
      </c>
      <c r="H3" s="168" t="n">
        <v>3</v>
      </c>
      <c r="I3" s="168" t="n">
        <v>4</v>
      </c>
      <c r="J3" s="168" t="n">
        <v>5</v>
      </c>
    </row>
    <row r="4" ht="15.75" customHeight="1" s="169">
      <c r="B4" s="174" t="inlineStr">
        <is>
          <t>Historical</t>
        </is>
      </c>
      <c r="F4" s="174" t="inlineStr">
        <is>
          <t>Projected</t>
        </is>
      </c>
    </row>
    <row r="5" ht="15.75" customHeight="1" s="169">
      <c r="A5" s="175" t="inlineStr">
        <is>
          <t>Fiscal year</t>
        </is>
      </c>
      <c r="B5" s="176" t="n">
        <v>2022</v>
      </c>
      <c r="C5" s="176" t="n">
        <v>2023</v>
      </c>
      <c r="D5" s="176" t="n">
        <v>2024</v>
      </c>
      <c r="E5" s="176" t="n">
        <v>2025</v>
      </c>
      <c r="F5" s="176" t="n">
        <v>2026</v>
      </c>
      <c r="G5" s="176" t="n">
        <v>2027</v>
      </c>
      <c r="H5" s="176" t="n">
        <v>2028</v>
      </c>
      <c r="I5" s="176" t="n">
        <v>2029</v>
      </c>
      <c r="J5" s="176" t="n">
        <v>2030</v>
      </c>
    </row>
    <row r="6" ht="15.75" customHeight="1" s="169">
      <c r="A6" s="198" t="inlineStr">
        <is>
          <t>Revenue</t>
        </is>
      </c>
      <c r="B6" s="168">
        <f>Revenue!B15</f>
        <v/>
      </c>
      <c r="C6" s="168">
        <f>Revenue!C15</f>
        <v/>
      </c>
      <c r="D6" s="168">
        <f>Revenue!D15</f>
        <v/>
      </c>
      <c r="E6" s="177">
        <f>Revenue!E15</f>
        <v/>
      </c>
      <c r="F6" s="188">
        <f>Revenue!F15</f>
        <v/>
      </c>
      <c r="G6" s="188">
        <f>Revenue!G15</f>
        <v/>
      </c>
      <c r="H6" s="188">
        <f>Revenue!H15</f>
        <v/>
      </c>
      <c r="I6" s="188">
        <f>Revenue!I15</f>
        <v/>
      </c>
      <c r="J6" s="188">
        <f>Revenue!J15</f>
        <v/>
      </c>
    </row>
    <row r="7" ht="15.75" customHeight="1" s="169">
      <c r="A7" s="207" t="inlineStr">
        <is>
          <t>Growth, YoY</t>
        </is>
      </c>
      <c r="B7" s="265" t="n"/>
      <c r="C7" s="265">
        <f>C6/B6-1</f>
        <v/>
      </c>
      <c r="D7" s="265">
        <f>D6/C6-1</f>
        <v/>
      </c>
      <c r="E7" s="237">
        <f>E6/D6-1</f>
        <v/>
      </c>
      <c r="F7" s="265">
        <f>F6/E6-1</f>
        <v/>
      </c>
      <c r="G7" s="265">
        <f>G6/F6-1</f>
        <v/>
      </c>
      <c r="H7" s="265">
        <f>H6/G6-1</f>
        <v/>
      </c>
      <c r="I7" s="265">
        <f>I6/H6-1</f>
        <v/>
      </c>
      <c r="J7" s="265">
        <f>J6/I6-1</f>
        <v/>
      </c>
    </row>
    <row r="8" ht="15.75" customHeight="1" s="169">
      <c r="A8" s="194" t="inlineStr">
        <is>
          <t>Adjusted EBITDA</t>
        </is>
      </c>
      <c r="B8" s="266">
        <f>'Income Statement'!B38</f>
        <v/>
      </c>
      <c r="C8" s="266">
        <f>'Income Statement'!C38</f>
        <v/>
      </c>
      <c r="D8" s="266">
        <f>'Income Statement'!D38</f>
        <v/>
      </c>
      <c r="E8" s="267">
        <f>'Income Statement'!E38</f>
        <v/>
      </c>
      <c r="F8" s="188">
        <f>F6*F9</f>
        <v/>
      </c>
      <c r="G8" s="188">
        <f>G6*G9</f>
        <v/>
      </c>
      <c r="H8" s="188">
        <f>H6*H9</f>
        <v/>
      </c>
      <c r="I8" s="188">
        <f>I6*I9</f>
        <v/>
      </c>
      <c r="J8" s="188">
        <f>J6*J9</f>
        <v/>
      </c>
      <c r="K8" t="inlineStr">
        <is>
          <t>Was ='Income Statement'!F38 (IS cost ratios gave 21.3-22.2% margins)</t>
        </is>
      </c>
    </row>
    <row r="9" ht="15.75" customHeight="1" s="169">
      <c r="A9" s="207" t="inlineStr">
        <is>
          <t>EBITDA margin (Street path, tracks 2026 guide)</t>
        </is>
      </c>
      <c r="B9" s="265">
        <f>B8/B6</f>
        <v/>
      </c>
      <c r="C9" s="265">
        <f>C8/C6</f>
        <v/>
      </c>
      <c r="D9" s="265">
        <f>D8/D6</f>
        <v/>
      </c>
      <c r="E9" s="237">
        <f>E8/E6</f>
        <v/>
      </c>
      <c r="F9" s="265">
        <f>'Consensus DCF'!F9</f>
        <v/>
      </c>
      <c r="G9" s="265">
        <f>'Consensus DCF'!G9</f>
        <v/>
      </c>
      <c r="H9" s="265">
        <f>'Consensus DCF'!H9</f>
        <v/>
      </c>
      <c r="I9" s="265">
        <f>'Consensus DCF'!I9</f>
        <v/>
      </c>
      <c r="J9" s="265">
        <f>'Consensus DCF'!J9</f>
        <v/>
      </c>
    </row>
    <row r="10" ht="15.75" customHeight="1" s="169">
      <c r="A10" s="194" t="inlineStr">
        <is>
          <t>D&amp;A</t>
        </is>
      </c>
      <c r="B10" s="266">
        <f>'Income Statement'!B37</f>
        <v/>
      </c>
      <c r="C10" s="266">
        <f>'Income Statement'!C37</f>
        <v/>
      </c>
      <c r="D10" s="266">
        <f>'Income Statement'!D37</f>
        <v/>
      </c>
      <c r="E10" s="267">
        <f>'Income Statement'!E37</f>
        <v/>
      </c>
      <c r="F10" s="266">
        <f>'Income Statement'!F37</f>
        <v/>
      </c>
      <c r="G10" s="266">
        <f>'Income Statement'!G37</f>
        <v/>
      </c>
      <c r="H10" s="266">
        <f>'Income Statement'!H37</f>
        <v/>
      </c>
      <c r="I10" s="266">
        <f>'Income Statement'!I37</f>
        <v/>
      </c>
      <c r="J10" s="266">
        <f>'Income Statement'!J37</f>
        <v/>
      </c>
    </row>
    <row r="11" ht="15.75" customHeight="1" s="169">
      <c r="A11" s="209" t="inlineStr">
        <is>
          <t>Adjusted EBIT</t>
        </is>
      </c>
      <c r="B11" s="168">
        <f>B8-B10</f>
        <v/>
      </c>
      <c r="C11" s="168">
        <f>C8-C10</f>
        <v/>
      </c>
      <c r="D11" s="168">
        <f>D8-D10</f>
        <v/>
      </c>
      <c r="E11" s="177">
        <f>E8-E10</f>
        <v/>
      </c>
      <c r="F11" s="188">
        <f>F8-F10</f>
        <v/>
      </c>
      <c r="G11" s="188">
        <f>G8-G10</f>
        <v/>
      </c>
      <c r="H11" s="188">
        <f>H8-H10</f>
        <v/>
      </c>
      <c r="I11" s="188">
        <f>I8-I10</f>
        <v/>
      </c>
      <c r="J11" s="188">
        <f>J8-J10</f>
        <v/>
      </c>
    </row>
    <row r="12" ht="15.75" customHeight="1" s="169">
      <c r="A12" s="194" t="inlineStr">
        <is>
          <t>Taxes</t>
        </is>
      </c>
      <c r="B12" s="188">
        <f>B11*'Income Statement'!B22</f>
        <v/>
      </c>
      <c r="C12" s="188">
        <f>C11*'Income Statement'!C22</f>
        <v/>
      </c>
      <c r="D12" s="188">
        <f>D11*'Income Statement'!D22</f>
        <v/>
      </c>
      <c r="E12" s="208">
        <f>E11*'Income Statement'!E22</f>
        <v/>
      </c>
      <c r="F12" s="188">
        <f>'Income Statement'!F40*DCF!F11</f>
        <v/>
      </c>
      <c r="G12" s="188">
        <f>'Income Statement'!G40*DCF!G11</f>
        <v/>
      </c>
      <c r="H12" s="188">
        <f>'Income Statement'!H40*DCF!H11</f>
        <v/>
      </c>
      <c r="I12" s="188">
        <f>'Income Statement'!I40*DCF!I11</f>
        <v/>
      </c>
      <c r="J12" s="188">
        <f>'Income Statement'!J40*DCF!J11</f>
        <v/>
      </c>
    </row>
    <row r="13" ht="15.75" customHeight="1" s="169">
      <c r="A13" s="198" t="inlineStr">
        <is>
          <t>NOPAT</t>
        </is>
      </c>
      <c r="B13" s="268">
        <f>B11-B12</f>
        <v/>
      </c>
      <c r="C13" s="268">
        <f>C11-C12</f>
        <v/>
      </c>
      <c r="D13" s="268">
        <f>D11-D12</f>
        <v/>
      </c>
      <c r="E13" s="269">
        <f>E11-E12</f>
        <v/>
      </c>
      <c r="F13" s="188">
        <f>F11-F12</f>
        <v/>
      </c>
      <c r="G13" s="188">
        <f>G11-G12</f>
        <v/>
      </c>
      <c r="H13" s="188">
        <f>H11-H12</f>
        <v/>
      </c>
      <c r="I13" s="188">
        <f>I11-I12</f>
        <v/>
      </c>
      <c r="J13" s="188">
        <f>J11-J12</f>
        <v/>
      </c>
    </row>
    <row r="14" ht="15.75" customHeight="1" s="169">
      <c r="A14" s="194" t="inlineStr">
        <is>
          <t>Add back: D&amp;A</t>
        </is>
      </c>
      <c r="B14" s="188">
        <f>B10</f>
        <v/>
      </c>
      <c r="C14" s="188">
        <f>C10</f>
        <v/>
      </c>
      <c r="D14" s="188">
        <f>D10</f>
        <v/>
      </c>
      <c r="E14" s="208">
        <f>E10</f>
        <v/>
      </c>
      <c r="F14" s="188">
        <f>F10</f>
        <v/>
      </c>
      <c r="G14" s="188">
        <f>G10</f>
        <v/>
      </c>
      <c r="H14" s="188">
        <f>H10</f>
        <v/>
      </c>
      <c r="I14" s="188">
        <f>I10</f>
        <v/>
      </c>
      <c r="J14" s="188">
        <f>J10</f>
        <v/>
      </c>
    </row>
    <row r="15" ht="15.75" customHeight="1" s="169">
      <c r="A15" s="194" t="inlineStr">
        <is>
          <t>Capex</t>
        </is>
      </c>
      <c r="B15" s="266">
        <f>'Cash Flow'!B29</f>
        <v/>
      </c>
      <c r="C15" s="266">
        <f>'Cash Flow'!C29</f>
        <v/>
      </c>
      <c r="D15" s="266">
        <f>'Cash Flow'!D29</f>
        <v/>
      </c>
      <c r="E15" s="267">
        <f>'Cash Flow'!E29</f>
        <v/>
      </c>
      <c r="F15" s="266">
        <f>'Cash Flow'!F29</f>
        <v/>
      </c>
      <c r="G15" s="266">
        <f>'Cash Flow'!G29</f>
        <v/>
      </c>
      <c r="H15" s="266">
        <f>'Cash Flow'!H29</f>
        <v/>
      </c>
      <c r="I15" s="266">
        <f>'Cash Flow'!I29</f>
        <v/>
      </c>
      <c r="J15" s="266">
        <f>'Cash Flow'!J29</f>
        <v/>
      </c>
    </row>
    <row r="16" ht="15.75" customHeight="1" s="169">
      <c r="A16" s="194" t="inlineStr">
        <is>
          <t>Less: increase in working capital</t>
        </is>
      </c>
      <c r="B16" s="266" t="n"/>
      <c r="C16" s="266">
        <f>-(C21-B21)</f>
        <v/>
      </c>
      <c r="D16" s="266">
        <f>-(D21-C21)</f>
        <v/>
      </c>
      <c r="E16" s="267">
        <f>-(E21-D21)</f>
        <v/>
      </c>
      <c r="F16" s="266">
        <f>-(F21-E21)</f>
        <v/>
      </c>
      <c r="G16" s="266">
        <f>-(G21-F21)</f>
        <v/>
      </c>
      <c r="H16" s="266">
        <f>-(H21-G21)</f>
        <v/>
      </c>
      <c r="I16" s="266">
        <f>-(I21-H21)</f>
        <v/>
      </c>
      <c r="J16" s="266">
        <f>-(J21-I21)</f>
        <v/>
      </c>
    </row>
    <row r="17" ht="15.75" customHeight="1" s="169">
      <c r="A17" s="198" t="inlineStr">
        <is>
          <t>Unlevered free cash flow</t>
        </is>
      </c>
      <c r="B17" s="268" t="n"/>
      <c r="C17" s="268">
        <f>C13+C14+C15+C16</f>
        <v/>
      </c>
      <c r="D17" s="268">
        <f>D13+D14+D15+D16</f>
        <v/>
      </c>
      <c r="E17" s="268">
        <f>E13+E14+E15+E16</f>
        <v/>
      </c>
      <c r="F17" s="268">
        <f>F13+F14+F15+F16</f>
        <v/>
      </c>
      <c r="G17" s="268">
        <f>G13+G14+G15+G16</f>
        <v/>
      </c>
      <c r="H17" s="268">
        <f>H13+H14+H15+H16</f>
        <v/>
      </c>
      <c r="I17" s="268">
        <f>I13+I14+I15+I16</f>
        <v/>
      </c>
      <c r="J17" s="268">
        <f>J13+J14+J15+J16</f>
        <v/>
      </c>
    </row>
    <row r="18" ht="15.75" customHeight="1" s="169">
      <c r="A18" t="inlineStr">
        <is>
          <t>Share of year after 30-Jun-26 valuation date</t>
        </is>
      </c>
      <c r="E18" s="177" t="n"/>
      <c r="F18" s="270" t="n">
        <v>0.5</v>
      </c>
      <c r="G18" s="270" t="n">
        <v>1</v>
      </c>
      <c r="H18" s="270" t="n">
        <v>1</v>
      </c>
      <c r="I18" s="270" t="n">
        <v>1</v>
      </c>
      <c r="J18" s="270" t="n">
        <v>1</v>
      </c>
    </row>
    <row r="19" ht="15.75" customHeight="1" s="169">
      <c r="A19" s="194" t="inlineStr">
        <is>
          <t>PV of Cash flows</t>
        </is>
      </c>
      <c r="E19" s="177" t="n"/>
      <c r="F19" s="168">
        <f>F17*F18/(1+WACC!$D$49)^F20</f>
        <v/>
      </c>
      <c r="G19" s="168">
        <f>G17*G18/(1+WACC!$D$49)^G20</f>
        <v/>
      </c>
      <c r="H19" s="168">
        <f>H17*H18/(1+WACC!$D$49)^H20</f>
        <v/>
      </c>
      <c r="I19" s="168">
        <f>I17*I18/(1+WACC!$D$49)^I20</f>
        <v/>
      </c>
      <c r="J19" s="168">
        <f>J17*J18/(1+WACC!$D$49)^J20</f>
        <v/>
      </c>
    </row>
    <row r="20" ht="15.75" customHeight="1" s="169">
      <c r="A20" t="inlineStr">
        <is>
          <t>Discount period (years from 30-Jun-26)</t>
        </is>
      </c>
      <c r="E20" s="177" t="n"/>
      <c r="F20" s="270" t="n">
        <v>0.5</v>
      </c>
      <c r="G20" s="270" t="n">
        <v>1.5</v>
      </c>
      <c r="H20" s="270" t="n">
        <v>2.5</v>
      </c>
      <c r="I20" s="270" t="n">
        <v>3.5</v>
      </c>
      <c r="J20" s="270" t="n">
        <v>4.5</v>
      </c>
    </row>
    <row r="21" ht="15.75" customHeight="1" s="169">
      <c r="A21" t="inlineStr">
        <is>
          <t>Working capital balance (current assets - current liabilities)</t>
        </is>
      </c>
      <c r="B21" s="271">
        <f>'Balance Sheet'!B13-'Balance Sheet'!B30</f>
        <v/>
      </c>
      <c r="C21" s="271">
        <f>'Balance Sheet'!C13-'Balance Sheet'!C30</f>
        <v/>
      </c>
      <c r="D21" s="271">
        <f>'Balance Sheet'!D13-'Balance Sheet'!D30</f>
        <v/>
      </c>
      <c r="E21" s="267">
        <f>'Balance Sheet'!E13-'Balance Sheet'!E30</f>
        <v/>
      </c>
      <c r="F21" s="271">
        <f>AVERAGE(B21:E21)</f>
        <v/>
      </c>
      <c r="G21" s="271">
        <f>AVERAGE(C21:F21)</f>
        <v/>
      </c>
      <c r="H21" s="271">
        <f>AVERAGE(D21:G21)</f>
        <v/>
      </c>
      <c r="I21" s="271">
        <f>AVERAGE(E21:H21)</f>
        <v/>
      </c>
      <c r="J21" s="271">
        <f>AVERAGE(F21:I21)</f>
        <v/>
      </c>
    </row>
    <row r="22" ht="15.75" customHeight="1" s="169">
      <c r="E22" s="177" t="n"/>
    </row>
    <row r="23" ht="15.75" customHeight="1" s="169">
      <c r="A23" s="272" t="inlineStr">
        <is>
          <t>Valuation</t>
        </is>
      </c>
      <c r="E23" s="177" t="n"/>
    </row>
    <row r="24" ht="15.75" customHeight="1" s="169">
      <c r="A24" s="194" t="inlineStr">
        <is>
          <t>Exit multiple (EV / FY2030E EBITDA)</t>
        </is>
      </c>
      <c r="B24" s="168" t="n">
        <v>22</v>
      </c>
      <c r="E24" s="177" t="n"/>
    </row>
    <row r="25" ht="15.75" customHeight="1" s="169">
      <c r="A25" s="194" t="inlineStr">
        <is>
          <t>FY2030E EBITDA</t>
        </is>
      </c>
      <c r="B25" s="188">
        <f>J8</f>
        <v/>
      </c>
      <c r="E25" s="177" t="n"/>
    </row>
    <row r="26" ht="15.75" customHeight="1" s="169">
      <c r="A26" s="194" t="inlineStr">
        <is>
          <t>Exit value, Dec-30</t>
        </is>
      </c>
      <c r="B26" s="168">
        <f>B25*B24</f>
        <v/>
      </c>
      <c r="E26" s="177" t="n"/>
    </row>
    <row r="27" ht="15.75" customHeight="1" s="169">
      <c r="A27" s="194" t="inlineStr">
        <is>
          <t>Years from valuation date (30-Jun-26 to Dec-30)</t>
        </is>
      </c>
      <c r="B27" s="168" t="n">
        <v>4.5</v>
      </c>
      <c r="E27" s="177" t="n"/>
    </row>
    <row r="28" ht="15.75" customHeight="1" s="169">
      <c r="A28" s="194" t="inlineStr">
        <is>
          <t>Discount rate (WACC)</t>
        </is>
      </c>
      <c r="B28" s="187">
        <f>WACC!D49</f>
        <v/>
      </c>
      <c r="E28" s="177" t="n"/>
    </row>
    <row r="29" ht="15.75" customHeight="1" s="169">
      <c r="A29" s="194" t="inlineStr">
        <is>
          <t>PV of exit value</t>
        </is>
      </c>
      <c r="B29" s="168">
        <f>B26/((1+B28)^B27)</f>
        <v/>
      </c>
    </row>
    <row r="30" ht="15.75" customHeight="1" s="169">
      <c r="A30" s="194" t="n"/>
    </row>
    <row r="31" ht="15.75" customHeight="1" s="169">
      <c r="A31" s="198" t="inlineStr">
        <is>
          <t>Enterprise value, 30-Jun-26</t>
        </is>
      </c>
      <c r="B31" s="168">
        <f>B29+SUM(F19:J19)</f>
        <v/>
      </c>
    </row>
    <row r="32" ht="15.75" customHeight="1" s="169">
      <c r="A32" s="207" t="inlineStr">
        <is>
          <t>Exit value % of EV</t>
        </is>
      </c>
      <c r="B32" s="187">
        <f>B29/B31</f>
        <v/>
      </c>
    </row>
    <row r="33" ht="15.75" customHeight="1" s="169">
      <c r="A33" s="194" t="inlineStr">
        <is>
          <t>Cash and short-term investments, 30-Jun-26</t>
        </is>
      </c>
      <c r="B33" s="168" t="n">
        <v>695</v>
      </c>
    </row>
    <row r="34" ht="15.75" customHeight="1" s="169">
      <c r="A34" s="194" t="inlineStr">
        <is>
          <t>Total debt, 30-Jun-26 (incl. Boyd financing)</t>
        </is>
      </c>
      <c r="B34" s="266" t="n">
        <v>20611</v>
      </c>
    </row>
    <row r="35" ht="15.75" customHeight="1" s="169">
      <c r="A35" s="194" t="inlineStr">
        <is>
          <t>Noncontrolling interests</t>
        </is>
      </c>
      <c r="B35" s="168" t="n">
        <v>44</v>
      </c>
    </row>
    <row r="36" ht="15.75" customHeight="1" s="169">
      <c r="A36" s="194" t="inlineStr">
        <is>
          <t>Pension and OPEB</t>
        </is>
      </c>
      <c r="B36" s="168" t="n">
        <v>671</v>
      </c>
    </row>
    <row r="37" ht="15.75" customHeight="1" s="169">
      <c r="A37" s="194" t="inlineStr">
        <is>
          <t>Equity-method investments</t>
        </is>
      </c>
      <c r="B37" s="168" t="n">
        <v>903</v>
      </c>
    </row>
    <row r="38" ht="15.75" customHeight="1" s="169">
      <c r="A38" s="198" t="inlineStr">
        <is>
          <t>Equity value, 30-Jun-26</t>
        </is>
      </c>
      <c r="B38" s="168">
        <f>B31+B33-B34-B35-B36+B37</f>
        <v/>
      </c>
    </row>
    <row r="39" ht="15.75" customHeight="1" s="169">
      <c r="A39" s="194" t="inlineStr">
        <is>
          <t>Diluted shares (mm)</t>
        </is>
      </c>
      <c r="B39" s="168" t="n">
        <v>388</v>
      </c>
    </row>
    <row r="41" ht="15.75" customHeight="1" s="169">
      <c r="A41" s="194" t="inlineStr">
        <is>
          <t>Value per share, 30-Jun-26</t>
        </is>
      </c>
      <c r="B41" s="168">
        <f>B38/B39</f>
        <v/>
      </c>
    </row>
    <row r="42">
      <c r="A42" s="273" t="inlineStr">
        <is>
          <t>Cost of equity</t>
        </is>
      </c>
      <c r="B42" s="274">
        <f>WACC!D30</f>
        <v/>
      </c>
    </row>
    <row r="43">
      <c r="A43" s="273" t="inlineStr">
        <is>
          <t>Carry to 6-month target date, 15-Apr-27 (years)</t>
        </is>
      </c>
      <c r="B43" s="275" t="n">
        <v>0.79</v>
      </c>
    </row>
    <row r="44">
      <c r="A44" s="273" t="inlineStr">
        <is>
          <t>6-month DCF value per share</t>
        </is>
      </c>
      <c r="B44">
        <f>B41*(1+B42)^B43</f>
        <v/>
      </c>
    </row>
    <row r="45">
      <c r="A45" s="273" t="inlineStr">
        <is>
          <t>Current share price (14-Oct-26)</t>
        </is>
      </c>
      <c r="B45" t="n">
        <v>408.85</v>
      </c>
    </row>
    <row r="46">
      <c r="A46" s="273" t="inlineStr">
        <is>
          <t>Upside / (downside) to 6-month value</t>
        </is>
      </c>
      <c r="B46" s="265">
        <f>B44/B45-1</f>
        <v/>
      </c>
    </row>
    <row r="48">
      <c r="A48" s="276" t="inlineStr">
        <is>
          <t>Corrections (14-Oct-26):</t>
        </is>
      </c>
    </row>
    <row r="49">
      <c r="A49" t="inlineStr">
        <is>
          <t>1. UFCF was NOPAT + (NOPAT + D&amp;A) + capex + working-capital balance. Now NOPAT + D&amp;A - capex - increase in working capital.</t>
        </is>
      </c>
    </row>
    <row r="50">
      <c r="A50" t="inlineStr">
        <is>
          <t>2. Net debt uses the 30-Jun-26 balance sheet ($20,611M debt, $695M cash): revenue already includes Boyd Thermal and Ultra PCS.</t>
        </is>
      </c>
    </row>
    <row r="51">
      <c r="A51" t="inlineStr">
        <is>
          <t>3. Valuation date 30-Jun-26: only H2 of FY26 is counted, flows discounted from mid-2026, exit discounted 4.5 years.</t>
        </is>
      </c>
    </row>
    <row r="52">
      <c r="A52" t="inlineStr">
        <is>
          <t>4. EBITDA margin follows the Street path (row 9). Original IS-based margins value the stock at about $384 (6M).</t>
        </is>
      </c>
    </row>
    <row r="53">
      <c r="A53" t="inlineStr">
        <is>
          <t>5. 6-month value carries the 30-Jun-26 value at the cost of equity to 15-Apr-27 (rows 42-46).</t>
        </is>
      </c>
    </row>
  </sheetData>
  <mergeCells count="2">
    <mergeCell ref="F4:J4"/>
    <mergeCell ref="B4:E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84375" defaultRowHeight="15" zeroHeight="0" outlineLevelRow="0"/>
  <cols>
    <col width="38" customWidth="1" style="168" min="1" max="1"/>
    <col width="11" customWidth="1" style="168" min="2" max="10"/>
  </cols>
  <sheetData>
    <row r="1" ht="17.25" customHeight="1" s="169">
      <c r="A1" s="277" t="inlineStr">
        <is>
          <t>Eaton Corporation (NYSE: ETN) - Consensus DCF</t>
        </is>
      </c>
    </row>
    <row r="3" ht="15" customHeight="1" s="169">
      <c r="A3" s="250" t="inlineStr">
        <is>
          <t>Discount period</t>
        </is>
      </c>
      <c r="F3" s="250">
        <f>DCF!F3</f>
        <v/>
      </c>
      <c r="G3" s="250">
        <f>DCF!G3</f>
        <v/>
      </c>
      <c r="H3" s="250">
        <f>DCF!H3</f>
        <v/>
      </c>
      <c r="I3" s="250">
        <f>DCF!I3</f>
        <v/>
      </c>
      <c r="J3" s="250">
        <f>DCF!J3</f>
        <v/>
      </c>
    </row>
    <row r="4" ht="15" customHeight="1" s="169">
      <c r="B4" s="278" t="inlineStr">
        <is>
          <t>Historical</t>
        </is>
      </c>
      <c r="F4" s="278" t="inlineStr">
        <is>
          <t>Consensus</t>
        </is>
      </c>
    </row>
    <row r="5" ht="15" customHeight="1" s="169">
      <c r="A5" s="251" t="inlineStr">
        <is>
          <t>Fiscal year ($mm)</t>
        </is>
      </c>
      <c r="B5" s="251" t="n">
        <v>2022</v>
      </c>
      <c r="C5" s="251" t="n">
        <v>2023</v>
      </c>
      <c r="D5" s="251" t="n">
        <v>2024</v>
      </c>
      <c r="E5" s="251" t="n">
        <v>2025</v>
      </c>
      <c r="F5" s="251" t="n">
        <v>2026</v>
      </c>
      <c r="G5" s="251" t="n">
        <v>2027</v>
      </c>
      <c r="H5" s="251" t="n">
        <v>2028</v>
      </c>
      <c r="I5" s="251" t="n">
        <v>2029</v>
      </c>
      <c r="J5" s="251" t="n">
        <v>2030</v>
      </c>
    </row>
    <row r="6" ht="15" customHeight="1" s="169">
      <c r="A6" s="278" t="inlineStr">
        <is>
          <t>Revenue</t>
        </is>
      </c>
      <c r="B6" s="279">
        <f>DCF!B6</f>
        <v/>
      </c>
      <c r="C6" s="279">
        <f>DCF!C6</f>
        <v/>
      </c>
      <c r="D6" s="279">
        <f>DCF!D6</f>
        <v/>
      </c>
      <c r="E6" s="279">
        <f>DCF!E6</f>
        <v/>
      </c>
      <c r="F6" s="280" t="n">
        <v>32863</v>
      </c>
      <c r="G6" s="280" t="n">
        <v>36788</v>
      </c>
      <c r="H6" s="280" t="n">
        <v>40333</v>
      </c>
      <c r="I6" s="279">
        <f>H6*(1+I7)</f>
        <v/>
      </c>
      <c r="J6" s="279">
        <f>I6*(1+J7)</f>
        <v/>
      </c>
    </row>
    <row r="7" ht="15" customHeight="1" s="169">
      <c r="A7" s="250" t="inlineStr">
        <is>
          <t>Growth, YoY</t>
        </is>
      </c>
      <c r="C7" s="281">
        <f>C6/B6-1</f>
        <v/>
      </c>
      <c r="D7" s="281">
        <f>D6/C6-1</f>
        <v/>
      </c>
      <c r="E7" s="281">
        <f>E6/D6-1</f>
        <v/>
      </c>
      <c r="F7" s="281">
        <f>F6/E6-1</f>
        <v/>
      </c>
      <c r="G7" s="281">
        <f>G6/F6-1</f>
        <v/>
      </c>
      <c r="H7" s="281">
        <f>H6/G6-1</f>
        <v/>
      </c>
      <c r="I7" s="281">
        <f>H7</f>
        <v/>
      </c>
      <c r="J7" s="281">
        <f>I7</f>
        <v/>
      </c>
    </row>
    <row r="8" ht="15" customHeight="1" s="169">
      <c r="A8" s="278" t="inlineStr">
        <is>
          <t>EBITDA</t>
        </is>
      </c>
      <c r="B8" s="279">
        <f>DCF!B8</f>
        <v/>
      </c>
      <c r="C8" s="279">
        <f>DCF!C8</f>
        <v/>
      </c>
      <c r="D8" s="279">
        <f>DCF!D8</f>
        <v/>
      </c>
      <c r="E8" s="279">
        <f>DCF!E8</f>
        <v/>
      </c>
      <c r="F8" s="280" t="n">
        <v>7802</v>
      </c>
      <c r="G8" s="280" t="n">
        <v>9098</v>
      </c>
      <c r="H8" s="280" t="n">
        <v>10216</v>
      </c>
      <c r="I8" s="279">
        <f>I6*I9</f>
        <v/>
      </c>
      <c r="J8" s="279">
        <f>J6*J9</f>
        <v/>
      </c>
    </row>
    <row r="9" ht="15" customHeight="1" s="169">
      <c r="A9" s="250" t="inlineStr">
        <is>
          <t>Margin</t>
        </is>
      </c>
      <c r="B9" s="281">
        <f>B8/B6</f>
        <v/>
      </c>
      <c r="C9" s="281">
        <f>C8/C6</f>
        <v/>
      </c>
      <c r="D9" s="281">
        <f>D8/D6</f>
        <v/>
      </c>
      <c r="E9" s="281">
        <f>E8/E6</f>
        <v/>
      </c>
      <c r="F9" s="281">
        <f>F8/F6</f>
        <v/>
      </c>
      <c r="G9" s="281">
        <f>G8/G6</f>
        <v/>
      </c>
      <c r="H9" s="281">
        <f>H8/H6</f>
        <v/>
      </c>
      <c r="I9" s="281">
        <f>H9</f>
        <v/>
      </c>
      <c r="J9" s="281">
        <f>I9</f>
        <v/>
      </c>
    </row>
    <row r="10" ht="15" customHeight="1" s="169">
      <c r="A10" s="250" t="inlineStr">
        <is>
          <t>D&amp;A</t>
        </is>
      </c>
      <c r="B10" s="282">
        <f>DCF!B10</f>
        <v/>
      </c>
      <c r="C10" s="282">
        <f>DCF!C10</f>
        <v/>
      </c>
      <c r="D10" s="282">
        <f>DCF!D10</f>
        <v/>
      </c>
      <c r="E10" s="282">
        <f>DCF!E10</f>
        <v/>
      </c>
      <c r="F10" s="283" t="n">
        <v>1276</v>
      </c>
      <c r="G10" s="283" t="n">
        <v>1248</v>
      </c>
      <c r="H10" s="283" t="n">
        <v>1251</v>
      </c>
      <c r="I10" s="282">
        <f>I6*I11</f>
        <v/>
      </c>
      <c r="J10" s="282">
        <f>J6*J11</f>
        <v/>
      </c>
    </row>
    <row r="11" ht="15" customHeight="1" s="169">
      <c r="A11" s="250" t="inlineStr">
        <is>
          <t>D&amp;A % of revenue</t>
        </is>
      </c>
      <c r="B11" s="281">
        <f>B10/B6</f>
        <v/>
      </c>
      <c r="C11" s="281">
        <f>C10/C6</f>
        <v/>
      </c>
      <c r="D11" s="281">
        <f>D10/D6</f>
        <v/>
      </c>
      <c r="E11" s="281">
        <f>E10/E6</f>
        <v/>
      </c>
      <c r="F11" s="281">
        <f>F10/F6</f>
        <v/>
      </c>
      <c r="G11" s="281">
        <f>G10/G6</f>
        <v/>
      </c>
      <c r="H11" s="281">
        <f>H10/H6</f>
        <v/>
      </c>
      <c r="I11" s="281">
        <f>H11</f>
        <v/>
      </c>
      <c r="J11" s="281">
        <f>I11</f>
        <v/>
      </c>
    </row>
    <row r="12" ht="15" customHeight="1" s="169">
      <c r="A12" s="278" t="inlineStr">
        <is>
          <t>EBIT</t>
        </is>
      </c>
      <c r="B12" s="279">
        <f>B8-B10</f>
        <v/>
      </c>
      <c r="C12" s="279">
        <f>C8-C10</f>
        <v/>
      </c>
      <c r="D12" s="279">
        <f>D8-D10</f>
        <v/>
      </c>
      <c r="E12" s="279">
        <f>E8-E10</f>
        <v/>
      </c>
      <c r="F12" s="279">
        <f>F8-F10</f>
        <v/>
      </c>
      <c r="G12" s="279">
        <f>G8-G10</f>
        <v/>
      </c>
      <c r="H12" s="279">
        <f>H8-H10</f>
        <v/>
      </c>
      <c r="I12" s="279">
        <f>I8-I10</f>
        <v/>
      </c>
      <c r="J12" s="279">
        <f>J8-J10</f>
        <v/>
      </c>
    </row>
    <row r="13" ht="15" customHeight="1" s="169">
      <c r="A13" s="250" t="inlineStr">
        <is>
          <t>Taxes</t>
        </is>
      </c>
      <c r="B13" s="282">
        <f>B12*'Income Statement'!B40</f>
        <v/>
      </c>
      <c r="C13" s="282">
        <f>C12*'Income Statement'!C40</f>
        <v/>
      </c>
      <c r="D13" s="282">
        <f>D12*'Income Statement'!D40</f>
        <v/>
      </c>
      <c r="E13" s="282">
        <f>E12*'Income Statement'!E40</f>
        <v/>
      </c>
      <c r="F13" s="282">
        <f>F12*'Income Statement'!F40</f>
        <v/>
      </c>
      <c r="G13" s="282">
        <f>G12*'Income Statement'!G40</f>
        <v/>
      </c>
      <c r="H13" s="282">
        <f>H12*'Income Statement'!H40</f>
        <v/>
      </c>
      <c r="I13" s="282">
        <f>I12*'Income Statement'!I40</f>
        <v/>
      </c>
      <c r="J13" s="282">
        <f>J12*'Income Statement'!J40</f>
        <v/>
      </c>
    </row>
    <row r="14" ht="15" customHeight="1" s="169">
      <c r="A14" s="278" t="inlineStr">
        <is>
          <t>NOPAT</t>
        </is>
      </c>
      <c r="B14" s="279">
        <f>B12-B13</f>
        <v/>
      </c>
      <c r="C14" s="279">
        <f>C12-C13</f>
        <v/>
      </c>
      <c r="D14" s="279">
        <f>D12-D13</f>
        <v/>
      </c>
      <c r="E14" s="279">
        <f>E12-E13</f>
        <v/>
      </c>
      <c r="F14" s="279">
        <f>F12-F13</f>
        <v/>
      </c>
      <c r="G14" s="279">
        <f>G12-G13</f>
        <v/>
      </c>
      <c r="H14" s="279">
        <f>H12-H13</f>
        <v/>
      </c>
      <c r="I14" s="279">
        <f>I12-I13</f>
        <v/>
      </c>
      <c r="J14" s="279">
        <f>J12-J13</f>
        <v/>
      </c>
    </row>
    <row r="15" ht="15" customHeight="1" s="169">
      <c r="A15" s="250" t="inlineStr">
        <is>
          <t>Add back: D&amp;A</t>
        </is>
      </c>
      <c r="B15" s="282">
        <f>B10</f>
        <v/>
      </c>
      <c r="C15" s="282">
        <f>C10</f>
        <v/>
      </c>
      <c r="D15" s="282">
        <f>D10</f>
        <v/>
      </c>
      <c r="E15" s="282">
        <f>E10</f>
        <v/>
      </c>
      <c r="F15" s="282">
        <f>F10</f>
        <v/>
      </c>
      <c r="G15" s="282">
        <f>G10</f>
        <v/>
      </c>
      <c r="H15" s="282">
        <f>H10</f>
        <v/>
      </c>
      <c r="I15" s="282">
        <f>I10</f>
        <v/>
      </c>
      <c r="J15" s="282">
        <f>J10</f>
        <v/>
      </c>
    </row>
    <row r="16" ht="15" customHeight="1" s="169">
      <c r="A16" s="250" t="inlineStr">
        <is>
          <t>Capex</t>
        </is>
      </c>
      <c r="B16" s="282">
        <f>DCF!B15</f>
        <v/>
      </c>
      <c r="C16" s="282">
        <f>DCF!C15</f>
        <v/>
      </c>
      <c r="D16" s="282">
        <f>DCF!D15</f>
        <v/>
      </c>
      <c r="E16" s="282">
        <f>DCF!E15</f>
        <v/>
      </c>
      <c r="F16" s="283" t="n">
        <v>-1124</v>
      </c>
      <c r="G16" s="283" t="n">
        <v>-1171</v>
      </c>
      <c r="H16" s="283" t="n">
        <v>-1269</v>
      </c>
      <c r="I16" s="282">
        <f>-I6*I17</f>
        <v/>
      </c>
      <c r="J16" s="282">
        <f>-J6*J17</f>
        <v/>
      </c>
    </row>
    <row r="17" ht="15" customHeight="1" s="169">
      <c r="A17" s="250" t="inlineStr">
        <is>
          <t>Capex % of revenue</t>
        </is>
      </c>
      <c r="B17" s="281">
        <f>-B16/B6</f>
        <v/>
      </c>
      <c r="C17" s="281">
        <f>-C16/C6</f>
        <v/>
      </c>
      <c r="D17" s="281">
        <f>-D16/D6</f>
        <v/>
      </c>
      <c r="E17" s="281">
        <f>-E16/E6</f>
        <v/>
      </c>
      <c r="F17" s="281">
        <f>-F16/F6</f>
        <v/>
      </c>
      <c r="G17" s="281">
        <f>-G16/G6</f>
        <v/>
      </c>
      <c r="H17" s="281">
        <f>-H16/H6</f>
        <v/>
      </c>
      <c r="I17" s="281">
        <f>H17</f>
        <v/>
      </c>
      <c r="J17" s="281">
        <f>I17</f>
        <v/>
      </c>
    </row>
    <row r="18" ht="15" customHeight="1" s="169">
      <c r="A18" s="250" t="inlineStr">
        <is>
          <t>Change in working capital</t>
        </is>
      </c>
      <c r="C18" s="282">
        <f>-('Balance Sheet'!C56-'Balance Sheet'!B56)</f>
        <v/>
      </c>
      <c r="D18" s="282">
        <f>-('Balance Sheet'!D56-'Balance Sheet'!C56)</f>
        <v/>
      </c>
      <c r="E18" s="282">
        <f>-('Balance Sheet'!E56-'Balance Sheet'!D56)</f>
        <v/>
      </c>
      <c r="F18" s="282">
        <f>-'Balance Sheet'!$E$57*(F6-E6)</f>
        <v/>
      </c>
      <c r="G18" s="282">
        <f>-'Balance Sheet'!$E$57*(G6-F6)</f>
        <v/>
      </c>
      <c r="H18" s="282">
        <f>-'Balance Sheet'!$E$57*(H6-G6)</f>
        <v/>
      </c>
      <c r="I18" s="282">
        <f>-'Balance Sheet'!$E$57*(I6-H6)</f>
        <v/>
      </c>
      <c r="J18" s="282">
        <f>-'Balance Sheet'!$E$57*(J6-I6)</f>
        <v/>
      </c>
    </row>
    <row r="19" ht="15" customHeight="1" s="169">
      <c r="A19" s="284" t="inlineStr">
        <is>
          <t>Unlevered free cash flow</t>
        </is>
      </c>
      <c r="C19" s="285">
        <f>C14+C15+C16+C18</f>
        <v/>
      </c>
      <c r="D19" s="285">
        <f>D14+D15+D16+D18</f>
        <v/>
      </c>
      <c r="E19" s="285">
        <f>E14+E15+E16+E18</f>
        <v/>
      </c>
      <c r="F19" s="285">
        <f>F14+F15+F16+F18</f>
        <v/>
      </c>
      <c r="G19" s="285">
        <f>G14+G15+G16+G18</f>
        <v/>
      </c>
      <c r="H19" s="285">
        <f>H14+H15+H16+H18</f>
        <v/>
      </c>
      <c r="I19" s="285">
        <f>I14+I15+I16+I18</f>
        <v/>
      </c>
      <c r="J19" s="285">
        <f>J14+J15+J16+J18</f>
        <v/>
      </c>
    </row>
    <row r="20">
      <c r="A20" t="inlineStr">
        <is>
          <t>Share of year after 30-Jun-26 valuation date</t>
        </is>
      </c>
      <c r="F20" s="270" t="n">
        <v>0.5</v>
      </c>
      <c r="G20" s="270" t="n">
        <v>1</v>
      </c>
      <c r="H20" s="270" t="n">
        <v>1</v>
      </c>
      <c r="I20" s="270" t="n">
        <v>1</v>
      </c>
      <c r="J20" s="270" t="n">
        <v>1</v>
      </c>
    </row>
    <row r="21" ht="15" customHeight="1" s="169">
      <c r="A21" s="250" t="inlineStr">
        <is>
          <t>PV of cash flows</t>
        </is>
      </c>
      <c r="F21" s="282">
        <f>F19*F20/(1+WACC!$D$49)^F22</f>
        <v/>
      </c>
      <c r="G21" s="282">
        <f>G19*G20/(1+WACC!$D$49)^G22</f>
        <v/>
      </c>
      <c r="H21" s="282">
        <f>H19*H20/(1+WACC!$D$49)^H22</f>
        <v/>
      </c>
      <c r="I21" s="282">
        <f>I19*I20/(1+WACC!$D$49)^I22</f>
        <v/>
      </c>
      <c r="J21" s="282">
        <f>J19*J20/(1+WACC!$D$49)^J22</f>
        <v/>
      </c>
    </row>
    <row r="22">
      <c r="A22" t="inlineStr">
        <is>
          <t>Discount period (years from 30-Jun-26)</t>
        </is>
      </c>
      <c r="F22" s="270" t="n">
        <v>0.5</v>
      </c>
      <c r="G22" s="270" t="n">
        <v>1.5</v>
      </c>
      <c r="H22" s="270" t="n">
        <v>2.5</v>
      </c>
      <c r="I22" s="270" t="n">
        <v>3.5</v>
      </c>
      <c r="J22" s="270" t="n">
        <v>4.5</v>
      </c>
    </row>
    <row r="24" ht="15" customHeight="1" s="169">
      <c r="A24" s="278" t="inlineStr">
        <is>
          <t>Valuation</t>
        </is>
      </c>
    </row>
    <row r="25" ht="15" customHeight="1" s="169">
      <c r="A25" s="250" t="inlineStr">
        <is>
          <t>Exit multiple (EV / FY2030E EBITDA)</t>
        </is>
      </c>
      <c r="B25" s="286">
        <f>DCF!B24</f>
        <v/>
      </c>
    </row>
    <row r="26" ht="15" customHeight="1" s="169">
      <c r="A26" s="250" t="inlineStr">
        <is>
          <t>FY2030E EBITDA</t>
        </is>
      </c>
      <c r="B26" s="282">
        <f>J8</f>
        <v/>
      </c>
    </row>
    <row r="27" ht="15" customHeight="1" s="169">
      <c r="A27" s="250" t="inlineStr">
        <is>
          <t>Exit value, Dec-30</t>
        </is>
      </c>
      <c r="B27" s="282">
        <f>B26*B25</f>
        <v/>
      </c>
    </row>
    <row r="28" ht="15" customHeight="1" s="169">
      <c r="A28" s="250" t="inlineStr">
        <is>
          <t>Years from valuation date (30-Jun-26 to Dec-30)</t>
        </is>
      </c>
      <c r="B28" s="287">
        <f>DCF!B27</f>
        <v/>
      </c>
    </row>
    <row r="29" ht="15" customHeight="1" s="169">
      <c r="A29" s="250" t="inlineStr">
        <is>
          <t>Discount rate</t>
        </is>
      </c>
      <c r="B29" s="281">
        <f>WACC!D49</f>
        <v/>
      </c>
    </row>
    <row r="30" ht="15" customHeight="1" s="169">
      <c r="A30" s="250" t="inlineStr">
        <is>
          <t>PV of exit value</t>
        </is>
      </c>
      <c r="B30" s="282">
        <f>B27/((1+B29)^B28)</f>
        <v/>
      </c>
    </row>
    <row r="32" ht="15" customHeight="1" s="169">
      <c r="A32" s="284" t="inlineStr">
        <is>
          <t>Enterprise value, 30-Jun-26</t>
        </is>
      </c>
      <c r="B32" s="285">
        <f>B30+SUM(F21:J21)</f>
        <v/>
      </c>
    </row>
    <row r="33" ht="15" customHeight="1" s="169">
      <c r="A33" s="250" t="inlineStr">
        <is>
          <t>Exit value % of EV</t>
        </is>
      </c>
      <c r="B33" s="281">
        <f>B30/B32</f>
        <v/>
      </c>
    </row>
    <row r="34" ht="15" customHeight="1" s="169">
      <c r="A34" s="250" t="inlineStr">
        <is>
          <t>Cash and short-term investments, 30-Jun-26</t>
        </is>
      </c>
      <c r="B34" s="282">
        <f>DCF!B33</f>
        <v/>
      </c>
    </row>
    <row r="35" ht="15" customHeight="1" s="169">
      <c r="A35" s="250" t="inlineStr">
        <is>
          <t>Total debt, 30-Jun-26</t>
        </is>
      </c>
      <c r="B35" s="282">
        <f>DCF!B34</f>
        <v/>
      </c>
    </row>
    <row r="36" ht="15" customHeight="1" s="169">
      <c r="A36" s="250" t="inlineStr">
        <is>
          <t>Noncontrolling interests</t>
        </is>
      </c>
      <c r="B36" s="282">
        <f>DCF!B35</f>
        <v/>
      </c>
    </row>
    <row r="37" ht="15" customHeight="1" s="169">
      <c r="A37" s="250" t="inlineStr">
        <is>
          <t>Pension and OPEB</t>
        </is>
      </c>
      <c r="B37" s="282">
        <f>DCF!B36</f>
        <v/>
      </c>
    </row>
    <row r="38" ht="15" customHeight="1" s="169">
      <c r="A38" s="250" t="inlineStr">
        <is>
          <t>Equity-method investments</t>
        </is>
      </c>
      <c r="B38" s="282">
        <f>DCF!B37</f>
        <v/>
      </c>
    </row>
    <row r="39" ht="15" customHeight="1" s="169">
      <c r="A39" s="284" t="inlineStr">
        <is>
          <t>Equity value, 30-Jun-26</t>
        </is>
      </c>
      <c r="B39" s="285">
        <f>B32+B34-B35-B36-B37+B38</f>
        <v/>
      </c>
    </row>
    <row r="40" ht="15" customHeight="1" s="169">
      <c r="A40" s="250" t="inlineStr">
        <is>
          <t>Diluted shares (mm)</t>
        </is>
      </c>
      <c r="B40" s="288">
        <f>DCF!B39</f>
        <v/>
      </c>
    </row>
    <row r="42" ht="15" customHeight="1" s="169">
      <c r="A42" s="278" t="inlineStr">
        <is>
          <t>Value per share, 30-Jun-26</t>
        </is>
      </c>
      <c r="B42" s="289">
        <f>B39/B40</f>
        <v/>
      </c>
    </row>
    <row r="43" ht="15" customHeight="1" s="169">
      <c r="A43" s="250" t="inlineStr">
        <is>
          <t>Current share price</t>
        </is>
      </c>
      <c r="B43" s="290">
        <f>'Reverse DCF'!B25</f>
        <v/>
      </c>
    </row>
    <row r="44" ht="15" customHeight="1" s="169">
      <c r="A44" s="250" t="inlineStr">
        <is>
          <t>Upside / (downside)</t>
        </is>
      </c>
      <c r="B44" s="281">
        <f>B42/B43-1</f>
        <v/>
      </c>
    </row>
    <row r="45">
      <c r="A45" s="291" t="inlineStr">
        <is>
          <t>Cost of equity</t>
        </is>
      </c>
      <c r="B45" s="292">
        <f>WACC!D30</f>
        <v/>
      </c>
    </row>
    <row r="46">
      <c r="A46" s="291" t="inlineStr">
        <is>
          <t>Carry to 6-month target date (years)</t>
        </is>
      </c>
      <c r="B46" s="293">
        <f>DCF!B43</f>
        <v/>
      </c>
    </row>
    <row r="47">
      <c r="A47" s="291" t="inlineStr">
        <is>
          <t>6-month DCF value per share</t>
        </is>
      </c>
      <c r="B47" s="294">
        <f>B42*(1+B45)^B46</f>
        <v/>
      </c>
    </row>
    <row r="48">
      <c r="A48" s="291" t="inlineStr">
        <is>
          <t>Upside / (downside) to 6-month value</t>
        </is>
      </c>
      <c r="B48" s="295">
        <f>B47/B43-1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84375" defaultRowHeight="15" zeroHeight="0" outlineLevelRow="0"/>
  <cols>
    <col width="38" customWidth="1" style="168" min="1" max="1"/>
    <col width="11" customWidth="1" style="168" min="2" max="10"/>
  </cols>
  <sheetData>
    <row r="1" ht="17.35" customHeight="1" s="169">
      <c r="A1" s="277" t="inlineStr">
        <is>
          <t>Eaton Corporation (NYSE: ETN) - Reverse DCF</t>
        </is>
      </c>
    </row>
    <row r="3" ht="15" customHeight="1" s="169">
      <c r="A3" s="250" t="inlineStr">
        <is>
          <t>Discount period</t>
        </is>
      </c>
      <c r="F3" s="250">
        <f>DCF!F3</f>
        <v/>
      </c>
      <c r="G3" s="250">
        <f>DCF!G3</f>
        <v/>
      </c>
      <c r="H3" s="250">
        <f>DCF!H3</f>
        <v/>
      </c>
      <c r="I3" s="250">
        <f>DCF!I3</f>
        <v/>
      </c>
      <c r="J3" s="250">
        <f>DCF!J3</f>
        <v/>
      </c>
    </row>
    <row r="4" ht="15" customHeight="1" s="169">
      <c r="B4" s="278" t="inlineStr">
        <is>
          <t>Historical</t>
        </is>
      </c>
      <c r="F4" s="278" t="inlineStr">
        <is>
          <t>Implied by current price</t>
        </is>
      </c>
    </row>
    <row r="5" ht="15" customHeight="1" s="169">
      <c r="A5" s="251" t="inlineStr">
        <is>
          <t>Fiscal year ($mm)</t>
        </is>
      </c>
      <c r="B5" s="251" t="n">
        <v>2022</v>
      </c>
      <c r="C5" s="251" t="n">
        <v>2023</v>
      </c>
      <c r="D5" s="251" t="n">
        <v>2024</v>
      </c>
      <c r="E5" s="251" t="n">
        <v>2025</v>
      </c>
      <c r="F5" s="251" t="n">
        <v>2026</v>
      </c>
      <c r="G5" s="251" t="n">
        <v>2027</v>
      </c>
      <c r="H5" s="251" t="n">
        <v>2028</v>
      </c>
      <c r="I5" s="251" t="n">
        <v>2029</v>
      </c>
      <c r="J5" s="251" t="n">
        <v>2030</v>
      </c>
    </row>
    <row r="6" ht="15" customHeight="1" s="169">
      <c r="A6" s="278" t="inlineStr">
        <is>
          <t>Revenue</t>
        </is>
      </c>
      <c r="B6" s="279">
        <f>DCF!B6</f>
        <v/>
      </c>
      <c r="C6" s="279">
        <f>DCF!C6</f>
        <v/>
      </c>
      <c r="D6" s="279">
        <f>DCF!D6</f>
        <v/>
      </c>
      <c r="E6" s="279">
        <f>DCF!E6</f>
        <v/>
      </c>
      <c r="F6" s="279">
        <f>E6*(1+F7)</f>
        <v/>
      </c>
      <c r="G6" s="279">
        <f>F6*(1+G7)</f>
        <v/>
      </c>
      <c r="H6" s="279">
        <f>G6*(1+H7)</f>
        <v/>
      </c>
      <c r="I6" s="279">
        <f>H6*(1+I7)</f>
        <v/>
      </c>
      <c r="J6" s="279">
        <f>I6*(1+J7)</f>
        <v/>
      </c>
    </row>
    <row r="7" ht="15" customHeight="1" s="169">
      <c r="A7" s="250" t="inlineStr">
        <is>
          <t>Growth, YoY</t>
        </is>
      </c>
      <c r="C7" s="281">
        <f>C6/B6-1</f>
        <v/>
      </c>
      <c r="D7" s="281">
        <f>D6/C6-1</f>
        <v/>
      </c>
      <c r="E7" s="281">
        <f>E6/D6-1</f>
        <v/>
      </c>
      <c r="F7" s="281">
        <f>$B$26</f>
        <v/>
      </c>
      <c r="G7" s="281">
        <f>$B$26</f>
        <v/>
      </c>
      <c r="H7" s="281">
        <f>$B$26</f>
        <v/>
      </c>
      <c r="I7" s="281">
        <f>$B$26</f>
        <v/>
      </c>
      <c r="J7" s="281">
        <f>$B$26</f>
        <v/>
      </c>
    </row>
    <row r="8" ht="15" customHeight="1" s="169">
      <c r="A8" s="278" t="inlineStr">
        <is>
          <t>EBITDA</t>
        </is>
      </c>
      <c r="B8" s="279">
        <f>DCF!B8</f>
        <v/>
      </c>
      <c r="C8" s="279">
        <f>DCF!C8</f>
        <v/>
      </c>
      <c r="D8" s="279">
        <f>DCF!D8</f>
        <v/>
      </c>
      <c r="E8" s="279">
        <f>DCF!E8</f>
        <v/>
      </c>
      <c r="F8" s="279">
        <f>F6*F9</f>
        <v/>
      </c>
      <c r="G8" s="279">
        <f>G6*G9</f>
        <v/>
      </c>
      <c r="H8" s="279">
        <f>H6*H9</f>
        <v/>
      </c>
      <c r="I8" s="279">
        <f>I6*I9</f>
        <v/>
      </c>
      <c r="J8" s="279">
        <f>J6*J9</f>
        <v/>
      </c>
    </row>
    <row r="9" ht="15" customHeight="1" s="169">
      <c r="A9" s="250" t="inlineStr">
        <is>
          <t>Margin</t>
        </is>
      </c>
      <c r="B9" s="281">
        <f>B8/B6</f>
        <v/>
      </c>
      <c r="C9" s="281">
        <f>C8/C6</f>
        <v/>
      </c>
      <c r="D9" s="281">
        <f>D8/D6</f>
        <v/>
      </c>
      <c r="E9" s="281">
        <f>E8/E6</f>
        <v/>
      </c>
      <c r="F9" s="281">
        <f>'Consensus DCF'!F9</f>
        <v/>
      </c>
      <c r="G9" s="281">
        <f>'Consensus DCF'!G9</f>
        <v/>
      </c>
      <c r="H9" s="281">
        <f>'Consensus DCF'!H9</f>
        <v/>
      </c>
      <c r="I9" s="281">
        <f>'Consensus DCF'!I9</f>
        <v/>
      </c>
      <c r="J9" s="281">
        <f>'Consensus DCF'!J9</f>
        <v/>
      </c>
    </row>
    <row r="10" ht="15" customHeight="1" s="169">
      <c r="A10" s="250" t="inlineStr">
        <is>
          <t>D&amp;A</t>
        </is>
      </c>
      <c r="B10" s="282">
        <f>DCF!B10</f>
        <v/>
      </c>
      <c r="C10" s="282">
        <f>DCF!C10</f>
        <v/>
      </c>
      <c r="D10" s="282">
        <f>DCF!D10</f>
        <v/>
      </c>
      <c r="E10" s="282">
        <f>DCF!E10</f>
        <v/>
      </c>
      <c r="F10" s="282">
        <f>F6*F11</f>
        <v/>
      </c>
      <c r="G10" s="282">
        <f>G6*G11</f>
        <v/>
      </c>
      <c r="H10" s="282">
        <f>H6*H11</f>
        <v/>
      </c>
      <c r="I10" s="282">
        <f>I6*I11</f>
        <v/>
      </c>
      <c r="J10" s="282">
        <f>J6*J11</f>
        <v/>
      </c>
    </row>
    <row r="11" ht="15" customHeight="1" s="169">
      <c r="A11" s="250" t="inlineStr">
        <is>
          <t>D&amp;A % of revenue</t>
        </is>
      </c>
      <c r="B11" s="281">
        <f>B10/B6</f>
        <v/>
      </c>
      <c r="C11" s="281">
        <f>C10/C6</f>
        <v/>
      </c>
      <c r="D11" s="281">
        <f>D10/D6</f>
        <v/>
      </c>
      <c r="E11" s="281">
        <f>E10/E6</f>
        <v/>
      </c>
      <c r="F11" s="281">
        <f>'Consensus DCF'!F11</f>
        <v/>
      </c>
      <c r="G11" s="281">
        <f>'Consensus DCF'!G11</f>
        <v/>
      </c>
      <c r="H11" s="281">
        <f>'Consensus DCF'!H11</f>
        <v/>
      </c>
      <c r="I11" s="281">
        <f>'Consensus DCF'!I11</f>
        <v/>
      </c>
      <c r="J11" s="281">
        <f>'Consensus DCF'!J11</f>
        <v/>
      </c>
    </row>
    <row r="12" ht="15" customHeight="1" s="169">
      <c r="A12" s="278" t="inlineStr">
        <is>
          <t>EBIT</t>
        </is>
      </c>
      <c r="B12" s="279">
        <f>B8-B10</f>
        <v/>
      </c>
      <c r="C12" s="279">
        <f>C8-C10</f>
        <v/>
      </c>
      <c r="D12" s="279">
        <f>D8-D10</f>
        <v/>
      </c>
      <c r="E12" s="279">
        <f>E8-E10</f>
        <v/>
      </c>
      <c r="F12" s="279">
        <f>F8-F10</f>
        <v/>
      </c>
      <c r="G12" s="279">
        <f>G8-G10</f>
        <v/>
      </c>
      <c r="H12" s="279">
        <f>H8-H10</f>
        <v/>
      </c>
      <c r="I12" s="279">
        <f>I8-I10</f>
        <v/>
      </c>
      <c r="J12" s="279">
        <f>J8-J10</f>
        <v/>
      </c>
    </row>
    <row r="13" ht="15" customHeight="1" s="169">
      <c r="A13" s="250" t="inlineStr">
        <is>
          <t>Taxes</t>
        </is>
      </c>
      <c r="B13" s="282">
        <f>B12*'Income Statement'!B40</f>
        <v/>
      </c>
      <c r="C13" s="282">
        <f>C12*'Income Statement'!C40</f>
        <v/>
      </c>
      <c r="D13" s="282">
        <f>D12*'Income Statement'!D40</f>
        <v/>
      </c>
      <c r="E13" s="282">
        <f>E12*'Income Statement'!E40</f>
        <v/>
      </c>
      <c r="F13" s="282">
        <f>F12*'Income Statement'!F40</f>
        <v/>
      </c>
      <c r="G13" s="282">
        <f>G12*'Income Statement'!G40</f>
        <v/>
      </c>
      <c r="H13" s="282">
        <f>H12*'Income Statement'!H40</f>
        <v/>
      </c>
      <c r="I13" s="282">
        <f>I12*'Income Statement'!I40</f>
        <v/>
      </c>
      <c r="J13" s="282">
        <f>J12*'Income Statement'!J40</f>
        <v/>
      </c>
    </row>
    <row r="14" ht="15" customHeight="1" s="169">
      <c r="A14" s="278" t="inlineStr">
        <is>
          <t>NOPAT</t>
        </is>
      </c>
      <c r="B14" s="279">
        <f>B12-B13</f>
        <v/>
      </c>
      <c r="C14" s="279">
        <f>C12-C13</f>
        <v/>
      </c>
      <c r="D14" s="279">
        <f>D12-D13</f>
        <v/>
      </c>
      <c r="E14" s="279">
        <f>E12-E13</f>
        <v/>
      </c>
      <c r="F14" s="279">
        <f>F12-F13</f>
        <v/>
      </c>
      <c r="G14" s="279">
        <f>G12-G13</f>
        <v/>
      </c>
      <c r="H14" s="279">
        <f>H12-H13</f>
        <v/>
      </c>
      <c r="I14" s="279">
        <f>I12-I13</f>
        <v/>
      </c>
      <c r="J14" s="279">
        <f>J12-J13</f>
        <v/>
      </c>
    </row>
    <row r="15" ht="15" customHeight="1" s="169">
      <c r="A15" s="250" t="inlineStr">
        <is>
          <t>Add back: D&amp;A</t>
        </is>
      </c>
      <c r="B15" s="282">
        <f>B10</f>
        <v/>
      </c>
      <c r="C15" s="282">
        <f>C10</f>
        <v/>
      </c>
      <c r="D15" s="282">
        <f>D10</f>
        <v/>
      </c>
      <c r="E15" s="282">
        <f>E10</f>
        <v/>
      </c>
      <c r="F15" s="282">
        <f>F10</f>
        <v/>
      </c>
      <c r="G15" s="282">
        <f>G10</f>
        <v/>
      </c>
      <c r="H15" s="282">
        <f>H10</f>
        <v/>
      </c>
      <c r="I15" s="282">
        <f>I10</f>
        <v/>
      </c>
      <c r="J15" s="282">
        <f>J10</f>
        <v/>
      </c>
    </row>
    <row r="16" ht="15" customHeight="1" s="169">
      <c r="A16" s="250" t="inlineStr">
        <is>
          <t>Capex</t>
        </is>
      </c>
      <c r="B16" s="282">
        <f>DCF!B15</f>
        <v/>
      </c>
      <c r="C16" s="282">
        <f>DCF!C15</f>
        <v/>
      </c>
      <c r="D16" s="282">
        <f>DCF!D15</f>
        <v/>
      </c>
      <c r="E16" s="282">
        <f>DCF!E15</f>
        <v/>
      </c>
      <c r="F16" s="282">
        <f>-F6*F17</f>
        <v/>
      </c>
      <c r="G16" s="282">
        <f>-G6*G17</f>
        <v/>
      </c>
      <c r="H16" s="282">
        <f>-H6*H17</f>
        <v/>
      </c>
      <c r="I16" s="282">
        <f>-I6*I17</f>
        <v/>
      </c>
      <c r="J16" s="282">
        <f>-J6*J17</f>
        <v/>
      </c>
    </row>
    <row r="17" ht="15" customHeight="1" s="169">
      <c r="A17" s="250" t="inlineStr">
        <is>
          <t>Capex % of revenue</t>
        </is>
      </c>
      <c r="B17" s="281">
        <f>-B16/B6</f>
        <v/>
      </c>
      <c r="C17" s="281">
        <f>-C16/C6</f>
        <v/>
      </c>
      <c r="D17" s="281">
        <f>-D16/D6</f>
        <v/>
      </c>
      <c r="E17" s="281">
        <f>-E16/E6</f>
        <v/>
      </c>
      <c r="F17" s="281">
        <f>'Consensus DCF'!F17</f>
        <v/>
      </c>
      <c r="G17" s="281">
        <f>'Consensus DCF'!G17</f>
        <v/>
      </c>
      <c r="H17" s="281">
        <f>'Consensus DCF'!H17</f>
        <v/>
      </c>
      <c r="I17" s="281">
        <f>'Consensus DCF'!I17</f>
        <v/>
      </c>
      <c r="J17" s="281">
        <f>'Consensus DCF'!J17</f>
        <v/>
      </c>
    </row>
    <row r="18" ht="15" customHeight="1" s="169">
      <c r="A18" s="250" t="inlineStr">
        <is>
          <t>Change in working capital</t>
        </is>
      </c>
      <c r="C18" s="282">
        <f>-('Balance Sheet'!C56-'Balance Sheet'!B56)</f>
        <v/>
      </c>
      <c r="D18" s="282">
        <f>-('Balance Sheet'!D56-'Balance Sheet'!C56)</f>
        <v/>
      </c>
      <c r="E18" s="282">
        <f>-('Balance Sheet'!E56-'Balance Sheet'!D56)</f>
        <v/>
      </c>
      <c r="F18" s="282">
        <f>-'Balance Sheet'!$E$57*(F6-E6)</f>
        <v/>
      </c>
      <c r="G18" s="282">
        <f>-'Balance Sheet'!$E$57*(G6-F6)</f>
        <v/>
      </c>
      <c r="H18" s="282">
        <f>-'Balance Sheet'!$E$57*(H6-G6)</f>
        <v/>
      </c>
      <c r="I18" s="282">
        <f>-'Balance Sheet'!$E$57*(I6-H6)</f>
        <v/>
      </c>
      <c r="J18" s="282">
        <f>-'Balance Sheet'!$E$57*(J6-I6)</f>
        <v/>
      </c>
    </row>
    <row r="19" ht="15" customHeight="1" s="169">
      <c r="A19" s="284" t="inlineStr">
        <is>
          <t>Unlevered free cash flow</t>
        </is>
      </c>
      <c r="C19" s="285">
        <f>C14+C15+C16+C18</f>
        <v/>
      </c>
      <c r="D19" s="285">
        <f>D14+D15+D16+D18</f>
        <v/>
      </c>
      <c r="E19" s="285">
        <f>E14+E15+E16+E18</f>
        <v/>
      </c>
      <c r="F19" s="285">
        <f>F14+F15+F16+F18</f>
        <v/>
      </c>
      <c r="G19" s="285">
        <f>G14+G15+G16+G18</f>
        <v/>
      </c>
      <c r="H19" s="285">
        <f>H14+H15+H16+H18</f>
        <v/>
      </c>
      <c r="I19" s="285">
        <f>I14+I15+I16+I18</f>
        <v/>
      </c>
      <c r="J19" s="285">
        <f>J14+J15+J16+J18</f>
        <v/>
      </c>
    </row>
    <row r="20">
      <c r="A20" t="inlineStr">
        <is>
          <t>Share of year after 30-Jun-26 valuation date</t>
        </is>
      </c>
      <c r="F20" s="270" t="n">
        <v>0.5</v>
      </c>
      <c r="G20" s="270" t="n">
        <v>1</v>
      </c>
      <c r="H20" s="270" t="n">
        <v>1</v>
      </c>
      <c r="I20" s="270" t="n">
        <v>1</v>
      </c>
      <c r="J20" s="270" t="n">
        <v>1</v>
      </c>
    </row>
    <row r="21" ht="15" customHeight="1" s="169">
      <c r="A21" s="250" t="inlineStr">
        <is>
          <t>PV of cash flows</t>
        </is>
      </c>
      <c r="F21" s="282">
        <f>F19*F20/(1+WACC!$D$49)^F22</f>
        <v/>
      </c>
      <c r="G21" s="282">
        <f>G19*G20/(1+WACC!$D$49)^G22</f>
        <v/>
      </c>
      <c r="H21" s="282">
        <f>H19*H20/(1+WACC!$D$49)^H22</f>
        <v/>
      </c>
      <c r="I21" s="282">
        <f>I19*I20/(1+WACC!$D$49)^I22</f>
        <v/>
      </c>
      <c r="J21" s="282">
        <f>J19*J20/(1+WACC!$D$49)^J22</f>
        <v/>
      </c>
    </row>
    <row r="22">
      <c r="A22" t="inlineStr">
        <is>
          <t>Discount period (years from 30-Jun-26)</t>
        </is>
      </c>
      <c r="F22" s="270" t="n">
        <v>0.5</v>
      </c>
      <c r="G22" s="270" t="n">
        <v>1.5</v>
      </c>
      <c r="H22" s="270" t="n">
        <v>2.5</v>
      </c>
      <c r="I22" s="270" t="n">
        <v>3.5</v>
      </c>
      <c r="J22" s="270" t="n">
        <v>4.5</v>
      </c>
    </row>
    <row r="24" ht="15" customHeight="1" s="169">
      <c r="A24" s="278" t="inlineStr">
        <is>
          <t>Valuation</t>
        </is>
      </c>
    </row>
    <row r="25" ht="15" customHeight="1" s="169">
      <c r="A25" s="250" t="inlineStr">
        <is>
          <t>Current share price</t>
        </is>
      </c>
      <c r="B25" s="296" t="n">
        <v>408.85</v>
      </c>
    </row>
    <row r="26" ht="15" customHeight="1" s="169">
      <c r="A26" s="278" t="inlineStr">
        <is>
          <t>Implied revenue growth, FY2026-30</t>
        </is>
      </c>
      <c r="B26" s="297" t="n">
        <v>0.09369641541616491</v>
      </c>
      <c r="C26" t="inlineStr">
        <is>
          <t>Solved so B44 = current price (corrected model)</t>
        </is>
      </c>
    </row>
    <row r="27" ht="15" customHeight="1" s="169">
      <c r="A27" s="250" t="inlineStr">
        <is>
          <t>Exit multiple (EV / FY2030E EBITDA)</t>
        </is>
      </c>
      <c r="B27" s="286">
        <f>DCF!B24</f>
        <v/>
      </c>
    </row>
    <row r="28" ht="15" customHeight="1" s="169">
      <c r="A28" s="250" t="inlineStr">
        <is>
          <t>FY2030E EBITDA</t>
        </is>
      </c>
      <c r="B28" s="282">
        <f>J8</f>
        <v/>
      </c>
    </row>
    <row r="29" ht="15" customHeight="1" s="169">
      <c r="A29" s="250" t="inlineStr">
        <is>
          <t>Exit value, Dec-30</t>
        </is>
      </c>
      <c r="B29" s="282">
        <f>B28*B27</f>
        <v/>
      </c>
    </row>
    <row r="30" ht="15" customHeight="1" s="169">
      <c r="A30" s="250" t="inlineStr">
        <is>
          <t>Years from valuation date (30-Jun-26 to Dec-30)</t>
        </is>
      </c>
      <c r="B30" s="287">
        <f>DCF!B27</f>
        <v/>
      </c>
    </row>
    <row r="31" ht="15" customHeight="1" s="169">
      <c r="A31" s="250" t="inlineStr">
        <is>
          <t>Discount rate</t>
        </is>
      </c>
      <c r="B31" s="281">
        <f>WACC!D49</f>
        <v/>
      </c>
    </row>
    <row r="32" ht="15" customHeight="1" s="169">
      <c r="A32" s="250" t="inlineStr">
        <is>
          <t>PV of exit value</t>
        </is>
      </c>
      <c r="B32" s="282">
        <f>B29/((1+B31)^B30)</f>
        <v/>
      </c>
    </row>
    <row r="34" ht="15" customHeight="1" s="169">
      <c r="A34" s="284" t="inlineStr">
        <is>
          <t>Enterprise value, 30-Jun-26</t>
        </is>
      </c>
      <c r="B34" s="285">
        <f>B32+SUM(F21:J21)</f>
        <v/>
      </c>
    </row>
    <row r="35" ht="15" customHeight="1" s="169">
      <c r="A35" s="250" t="inlineStr">
        <is>
          <t>Exit value % of EV</t>
        </is>
      </c>
      <c r="B35" s="281">
        <f>B32/B34</f>
        <v/>
      </c>
    </row>
    <row r="36" ht="15" customHeight="1" s="169">
      <c r="A36" s="250" t="inlineStr">
        <is>
          <t>Cash and short-term investments, 30-Jun-26</t>
        </is>
      </c>
      <c r="B36" s="282">
        <f>DCF!B33</f>
        <v/>
      </c>
    </row>
    <row r="37" ht="15" customHeight="1" s="169">
      <c r="A37" s="250" t="inlineStr">
        <is>
          <t>Total debt, 30-Jun-26</t>
        </is>
      </c>
      <c r="B37" s="282">
        <f>DCF!B34</f>
        <v/>
      </c>
    </row>
    <row r="38" ht="15" customHeight="1" s="169">
      <c r="A38" s="250" t="inlineStr">
        <is>
          <t>Noncontrolling interests</t>
        </is>
      </c>
      <c r="B38" s="282">
        <f>DCF!B35</f>
        <v/>
      </c>
    </row>
    <row r="39" ht="15" customHeight="1" s="169">
      <c r="A39" s="250" t="inlineStr">
        <is>
          <t>Pension and OPEB</t>
        </is>
      </c>
      <c r="B39" s="282">
        <f>DCF!B36</f>
        <v/>
      </c>
    </row>
    <row r="40" ht="15" customHeight="1" s="169">
      <c r="A40" s="250" t="inlineStr">
        <is>
          <t>Equity-method investments</t>
        </is>
      </c>
      <c r="B40" s="282">
        <f>DCF!B37</f>
        <v/>
      </c>
    </row>
    <row r="41" ht="15" customHeight="1" s="169">
      <c r="A41" s="284" t="inlineStr">
        <is>
          <t>Equity value, 30-Jun-26</t>
        </is>
      </c>
      <c r="B41" s="285">
        <f>B34+B36-B37-B38-B39+B40</f>
        <v/>
      </c>
    </row>
    <row r="42" ht="15" customHeight="1" s="169">
      <c r="A42" s="250" t="inlineStr">
        <is>
          <t>Diluted shares (mm)</t>
        </is>
      </c>
      <c r="B42" s="288">
        <f>DCF!B39</f>
        <v/>
      </c>
    </row>
    <row r="44" ht="15" customHeight="1" s="169">
      <c r="A44" s="278" t="inlineStr">
        <is>
          <t>Share price</t>
        </is>
      </c>
      <c r="B44" s="289">
        <f>B41/B42</f>
        <v/>
      </c>
    </row>
    <row r="45" ht="15" customHeight="1" s="169">
      <c r="A45" s="250" t="inlineStr">
        <is>
          <t>Difference to current price</t>
        </is>
      </c>
      <c r="B45" s="298">
        <f>B44-B25</f>
        <v/>
      </c>
    </row>
    <row r="47" ht="15" customHeight="1" s="169">
      <c r="A47" s="278" t="inlineStr">
        <is>
          <t>Revenue growth, FY2026-30 CAGR</t>
        </is>
      </c>
    </row>
    <row r="48" ht="15" customHeight="1" s="169">
      <c r="A48" s="250" t="inlineStr">
        <is>
          <t>Implied by current price</t>
        </is>
      </c>
      <c r="B48" s="281">
        <f>(J6/E6)^(1/5)-1</f>
        <v/>
      </c>
    </row>
    <row r="49" ht="15" customHeight="1" s="169">
      <c r="A49" s="250" t="inlineStr">
        <is>
          <t>Consensus</t>
        </is>
      </c>
      <c r="B49" s="281">
        <f>('Consensus DCF'!J6/'Consensus DCF'!E6)^(1/5)-1</f>
        <v/>
      </c>
    </row>
    <row r="50" ht="15" customHeight="1" s="169">
      <c r="A50" s="250" t="inlineStr">
        <is>
          <t>Your base case</t>
        </is>
      </c>
      <c r="B50" s="281">
        <f>(DCF!J6/DCF!E6)^(1/5)-1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5:J55"/>
  <sheetViews>
    <sheetView showFormulas="0" showGridLines="1" showRowColHeaders="1" showZeros="1" rightToLeft="0" tabSelected="0" showOutlineSymbols="1" defaultGridColor="1" view="normal" topLeftCell="A17" colorId="64" zoomScale="119" zoomScaleNormal="119" zoomScalePageLayoutView="100" workbookViewId="0">
      <selection pane="topLeft" activeCell="B52" activeCellId="0" sqref="B52"/>
    </sheetView>
  </sheetViews>
  <sheetFormatPr baseColWidth="8" defaultColWidth="10.484375" defaultRowHeight="15.75" zeroHeight="0" outlineLevelRow="0"/>
  <cols>
    <col width="33.16" customWidth="1" style="168" min="2" max="2"/>
    <col width="14" customWidth="1" style="168" min="3" max="3"/>
    <col width="8.66" customWidth="1" style="168" min="4" max="4"/>
    <col width="11.83" customWidth="1" style="168" min="5" max="5"/>
    <col width="7.83" customWidth="1" style="168" min="6" max="6"/>
    <col width="8.33" customWidth="1" style="168" min="7" max="7"/>
    <col width="13.66" customWidth="1" style="168" min="8" max="8"/>
    <col width="11.33" customWidth="1" style="168" min="9" max="9"/>
    <col width="13.5" customWidth="1" style="168" min="10" max="10"/>
  </cols>
  <sheetData>
    <row r="5" ht="15.75" customHeight="1" s="169">
      <c r="B5" s="272" t="inlineStr">
        <is>
          <t>Beta</t>
        </is>
      </c>
      <c r="C5" s="272" t="n"/>
      <c r="D5" s="272" t="n"/>
      <c r="E5" s="272" t="n"/>
      <c r="F5" s="272" t="n"/>
      <c r="G5" s="272" t="n"/>
      <c r="H5" s="272" t="n"/>
      <c r="I5" s="272" t="n"/>
      <c r="J5" s="272" t="n"/>
    </row>
    <row r="6" ht="15.75" customHeight="1" s="169">
      <c r="B6" s="299" t="inlineStr">
        <is>
          <t>Unlevered beta = levered beta / (1 + D/E x (1 - tax))</t>
        </is>
      </c>
    </row>
    <row r="7" ht="15.75" customHeight="1" s="169">
      <c r="B7" s="300" t="inlineStr">
        <is>
          <t>Company</t>
        </is>
      </c>
      <c r="C7" s="300" t="inlineStr">
        <is>
          <t>Ticker</t>
        </is>
      </c>
      <c r="D7" s="301" t="inlineStr">
        <is>
          <t>Currency</t>
        </is>
      </c>
      <c r="E7" s="301" t="inlineStr">
        <is>
          <t>Levered beta</t>
        </is>
      </c>
      <c r="F7" s="301" t="inlineStr">
        <is>
          <t>Tax rate</t>
        </is>
      </c>
      <c r="G7" s="301" t="inlineStr">
        <is>
          <t>Debt (bn)</t>
        </is>
      </c>
      <c r="H7" s="301" t="inlineStr">
        <is>
          <t>Market cap (bn)</t>
        </is>
      </c>
      <c r="I7" s="301" t="inlineStr">
        <is>
          <t>Debt / equity</t>
        </is>
      </c>
      <c r="J7" s="301" t="inlineStr">
        <is>
          <t>Unlevered beta</t>
        </is>
      </c>
    </row>
    <row r="8" ht="15.75" customHeight="1" s="169">
      <c r="B8" s="194" t="inlineStr">
        <is>
          <t>Siemens Energy AG</t>
        </is>
      </c>
      <c r="C8" s="194" t="inlineStr">
        <is>
          <t>ETR:ENR</t>
        </is>
      </c>
      <c r="D8" s="302" t="inlineStr">
        <is>
          <t>EUR</t>
        </is>
      </c>
      <c r="E8" s="303" t="n">
        <v>1.87</v>
      </c>
      <c r="F8" s="304" t="n">
        <v>0.3</v>
      </c>
      <c r="G8" s="305" t="n">
        <v>2.96</v>
      </c>
      <c r="H8" s="305" t="n">
        <v>120.5</v>
      </c>
      <c r="I8" s="306">
        <f>G8/H8</f>
        <v/>
      </c>
      <c r="J8" s="307">
        <f>E8/(1+I8*(1-F8))</f>
        <v/>
      </c>
    </row>
    <row r="9" ht="15.75" customHeight="1" s="169">
      <c r="B9" s="194" t="inlineStr">
        <is>
          <t>Mitsubishi Heavy Industries</t>
        </is>
      </c>
      <c r="C9" s="194" t="inlineStr">
        <is>
          <t>TYO:7011</t>
        </is>
      </c>
      <c r="D9" s="302" t="inlineStr">
        <is>
          <t>JPY</t>
        </is>
      </c>
      <c r="E9" s="303" t="n">
        <v>0.37</v>
      </c>
      <c r="F9" s="304" t="n">
        <v>0.3</v>
      </c>
      <c r="G9" s="305" t="n">
        <v>853.8200000000001</v>
      </c>
      <c r="H9" s="305" t="n">
        <v>12640</v>
      </c>
      <c r="I9" s="306">
        <f>G9/H9</f>
        <v/>
      </c>
      <c r="J9" s="307">
        <f>E9/(1+I9*(1-F9))</f>
        <v/>
      </c>
    </row>
    <row r="10" ht="15.75" customHeight="1" s="169">
      <c r="B10" s="194" t="inlineStr">
        <is>
          <t>GE Aerospace</t>
        </is>
      </c>
      <c r="C10" s="194" t="inlineStr">
        <is>
          <t>NYSE:GE</t>
        </is>
      </c>
      <c r="D10" s="302" t="inlineStr">
        <is>
          <t>USD</t>
        </is>
      </c>
      <c r="E10" s="303" t="n">
        <v>1.35</v>
      </c>
      <c r="F10" s="304" t="n">
        <v>0.25</v>
      </c>
      <c r="G10" s="305" t="n">
        <v>20.23</v>
      </c>
      <c r="H10" s="305" t="n">
        <v>324.12</v>
      </c>
      <c r="I10" s="306">
        <f>G10/H10</f>
        <v/>
      </c>
      <c r="J10" s="307">
        <f>E10/(1+I10*(1-F10))</f>
        <v/>
      </c>
    </row>
    <row r="11" ht="15.75" customHeight="1" s="169">
      <c r="B11" s="308" t="inlineStr">
        <is>
          <t>Eaton Corporation plc</t>
        </is>
      </c>
      <c r="C11" s="308" t="inlineStr">
        <is>
          <t>NYSE:ETN</t>
        </is>
      </c>
      <c r="D11" s="309" t="inlineStr">
        <is>
          <t>USD</t>
        </is>
      </c>
      <c r="E11" s="310" t="n">
        <v>1.13</v>
      </c>
      <c r="F11" s="311" t="n">
        <v>0.25</v>
      </c>
      <c r="G11" s="312" t="n">
        <v>21.33</v>
      </c>
      <c r="H11" s="312" t="n">
        <v>169.84</v>
      </c>
      <c r="I11" s="313">
        <f>G11/H11</f>
        <v/>
      </c>
      <c r="J11" s="314">
        <f>E11/(1+I11*(1-F11))</f>
        <v/>
      </c>
    </row>
    <row r="12" ht="15.75" customHeight="1" s="169">
      <c r="B12" s="194" t="inlineStr">
        <is>
          <t>Schneider Electric SE</t>
        </is>
      </c>
      <c r="C12" s="194" t="inlineStr">
        <is>
          <t>EPA:SU</t>
        </is>
      </c>
      <c r="D12" s="302" t="inlineStr">
        <is>
          <t>EUR</t>
        </is>
      </c>
      <c r="E12" s="303" t="n">
        <v>1.15</v>
      </c>
      <c r="F12" s="304" t="n">
        <v>0.25</v>
      </c>
      <c r="G12" s="305" t="n">
        <v>20.81</v>
      </c>
      <c r="H12" s="305" t="n">
        <v>164.2</v>
      </c>
      <c r="I12" s="306">
        <f>G12/H12</f>
        <v/>
      </c>
      <c r="J12" s="307">
        <f>E12/(1+I12*(1-F12))</f>
        <v/>
      </c>
    </row>
    <row r="13" ht="15.75" customHeight="1" s="169">
      <c r="B13" s="194" t="inlineStr">
        <is>
          <t>ABB Ltd</t>
        </is>
      </c>
      <c r="C13" s="194" t="inlineStr">
        <is>
          <t>SWX:ABBN</t>
        </is>
      </c>
      <c r="D13" s="302" t="inlineStr">
        <is>
          <t>CHF</t>
        </is>
      </c>
      <c r="E13" s="303" t="n">
        <v>1.01</v>
      </c>
      <c r="F13" s="304" t="n">
        <v>0.2</v>
      </c>
      <c r="G13" s="305" t="n">
        <v>7.39</v>
      </c>
      <c r="H13" s="305" t="n">
        <v>146.61</v>
      </c>
      <c r="I13" s="306">
        <f>G13/H13</f>
        <v/>
      </c>
      <c r="J13" s="307">
        <f>E13/(1+I13*(1-F13))</f>
        <v/>
      </c>
    </row>
    <row r="14" ht="15.75" customHeight="1" s="169">
      <c r="B14" s="194" t="inlineStr">
        <is>
          <t>Hitachi, Ltd.</t>
        </is>
      </c>
      <c r="C14" s="194" t="inlineStr">
        <is>
          <t>TYO:6501</t>
        </is>
      </c>
      <c r="D14" s="302" t="inlineStr">
        <is>
          <t>JPY</t>
        </is>
      </c>
      <c r="E14" s="303" t="n">
        <v>0.54</v>
      </c>
      <c r="F14" s="304" t="n">
        <v>0.3</v>
      </c>
      <c r="G14" s="305" t="n">
        <v>1060</v>
      </c>
      <c r="H14" s="305" t="n">
        <v>24710</v>
      </c>
      <c r="I14" s="306">
        <f>G14/H14</f>
        <v/>
      </c>
      <c r="J14" s="307">
        <f>E14/(1+I14*(1-F14))</f>
        <v/>
      </c>
    </row>
    <row r="15" ht="15.75" customHeight="1" s="169">
      <c r="B15" s="194" t="inlineStr">
        <is>
          <t>Hubbell Incorporated</t>
        </is>
      </c>
      <c r="C15" s="194" t="inlineStr">
        <is>
          <t>NYSE:HUBB</t>
        </is>
      </c>
      <c r="D15" s="302" t="inlineStr">
        <is>
          <t>USD</t>
        </is>
      </c>
      <c r="E15" s="303" t="n">
        <v>0.89</v>
      </c>
      <c r="F15" s="304" t="n">
        <v>0.25</v>
      </c>
      <c r="G15" s="305" t="n">
        <v>5.56</v>
      </c>
      <c r="H15" s="305" t="n">
        <v>24.67</v>
      </c>
      <c r="I15" s="306">
        <f>G15/H15</f>
        <v/>
      </c>
      <c r="J15" s="307">
        <f>E15/(1+I15*(1-F15))</f>
        <v/>
      </c>
    </row>
    <row r="16" ht="15.75" customHeight="1" s="169">
      <c r="B16" s="194" t="inlineStr">
        <is>
          <t>Vertiv Holdings Co</t>
        </is>
      </c>
      <c r="C16" s="194" t="inlineStr">
        <is>
          <t>NYSE:VRT</t>
        </is>
      </c>
      <c r="D16" s="302" t="inlineStr">
        <is>
          <t>USD</t>
        </is>
      </c>
      <c r="E16" s="303" t="n">
        <v>2.07</v>
      </c>
      <c r="F16" s="304" t="n">
        <v>0.25</v>
      </c>
      <c r="G16" s="305" t="n">
        <v>3.34</v>
      </c>
      <c r="H16" s="305" t="n">
        <v>94.75</v>
      </c>
      <c r="I16" s="306">
        <f>G16/H16</f>
        <v/>
      </c>
      <c r="J16" s="307">
        <f>E16/(1+I16*(1-F16))</f>
        <v/>
      </c>
    </row>
    <row r="17" ht="15.75" customHeight="1" s="169">
      <c r="B17" s="194" t="inlineStr">
        <is>
          <t>Emerson Electric Co.</t>
        </is>
      </c>
      <c r="C17" s="194" t="inlineStr">
        <is>
          <t>NYSE:EMR</t>
        </is>
      </c>
      <c r="D17" s="302" t="inlineStr">
        <is>
          <t>USD</t>
        </is>
      </c>
      <c r="E17" s="303" t="n">
        <v>1.23</v>
      </c>
      <c r="F17" s="304" t="n">
        <v>0.25</v>
      </c>
      <c r="G17" s="305" t="n">
        <v>13.8</v>
      </c>
      <c r="H17" s="305" t="n">
        <v>88.45</v>
      </c>
      <c r="I17" s="306">
        <f>G17/H17</f>
        <v/>
      </c>
      <c r="J17" s="307">
        <f>E17/(1+I17*(1-F17))</f>
        <v/>
      </c>
    </row>
    <row r="18" ht="15.75" customHeight="1" s="169">
      <c r="B18" s="194" t="inlineStr">
        <is>
          <t>Quanta Services</t>
        </is>
      </c>
      <c r="C18" s="194" t="inlineStr">
        <is>
          <t>NYSE:PWR</t>
        </is>
      </c>
      <c r="D18" s="302" t="inlineStr">
        <is>
          <t>USD</t>
        </is>
      </c>
      <c r="E18" s="303" t="n">
        <v>1.27</v>
      </c>
      <c r="F18" s="304" t="n">
        <v>0.25</v>
      </c>
      <c r="G18" s="305" t="n">
        <v>6.6</v>
      </c>
      <c r="H18" s="305" t="n">
        <v>99.62</v>
      </c>
      <c r="I18" s="306">
        <f>G18/H18</f>
        <v/>
      </c>
      <c r="J18" s="307">
        <f>E18/(1+I18*(1-F18))</f>
        <v/>
      </c>
    </row>
    <row r="20" ht="15.75" customHeight="1" s="169">
      <c r="B20" s="198" t="inlineStr">
        <is>
          <t>Peer median</t>
        </is>
      </c>
      <c r="C20" s="226" t="n"/>
      <c r="D20" s="226" t="n"/>
      <c r="E20" s="315">
        <f>MEDIAN(E8:E18)</f>
        <v/>
      </c>
      <c r="F20" s="316">
        <f>MEDIAN(F8:F18)</f>
        <v/>
      </c>
      <c r="G20" s="226" t="n"/>
      <c r="H20" s="226" t="n"/>
      <c r="I20" s="316">
        <f>MEDIAN(I8:I18)</f>
        <v/>
      </c>
      <c r="J20" s="315">
        <f>MEDIAN(J8:J18)</f>
        <v/>
      </c>
    </row>
    <row r="21" ht="15.75" customHeight="1" s="169">
      <c r="B21" s="209" t="inlineStr">
        <is>
          <t>Peer mean</t>
        </is>
      </c>
      <c r="E21" s="317">
        <f>AVERAGE(E8:E18)</f>
        <v/>
      </c>
      <c r="F21" s="318">
        <f>AVERAGE(F8:F18)</f>
        <v/>
      </c>
      <c r="I21" s="318">
        <f>AVERAGE(I8:I18)</f>
        <v/>
      </c>
      <c r="J21" s="317">
        <f>AVERAGE(J8:J18)</f>
        <v/>
      </c>
    </row>
    <row r="23" ht="15.75" customHeight="1" s="169">
      <c r="B23" s="209" t="inlineStr">
        <is>
          <t>Eaton (relevered)</t>
        </is>
      </c>
      <c r="C23" s="194" t="inlineStr">
        <is>
          <t>NYSE:ETN</t>
        </is>
      </c>
      <c r="D23" s="302" t="inlineStr">
        <is>
          <t>USD</t>
        </is>
      </c>
      <c r="E23" s="303">
        <f>1.03*(1+(0.089*(1-0.25)))</f>
        <v/>
      </c>
      <c r="F23" s="319" t="n">
        <v>0.25</v>
      </c>
      <c r="G23" s="320">
        <f>D45/1000</f>
        <v/>
      </c>
      <c r="H23" s="320">
        <f>D43/1000</f>
        <v/>
      </c>
      <c r="I23" s="306">
        <f>G23/H23</f>
        <v/>
      </c>
      <c r="J23" s="321">
        <f>J20*(1+I23*(1-F23))</f>
        <v/>
      </c>
    </row>
    <row r="26" ht="15.75" customHeight="1" s="169">
      <c r="B26" s="272" t="inlineStr">
        <is>
          <t>Cost of equity</t>
        </is>
      </c>
      <c r="C26" s="272" t="n"/>
      <c r="D26" s="272" t="n"/>
      <c r="E26" s="272" t="n"/>
      <c r="F26" s="272" t="n"/>
      <c r="G26" s="272" t="n"/>
      <c r="H26" s="272" t="n"/>
      <c r="I26" s="272" t="n"/>
      <c r="J26" s="272" t="n"/>
    </row>
    <row r="27" ht="15.75" customHeight="1" s="169">
      <c r="B27" s="194" t="inlineStr">
        <is>
          <t>Risk-free rate (US 10-year)</t>
        </is>
      </c>
      <c r="D27" s="322" t="n">
        <v>0.0525</v>
      </c>
    </row>
    <row r="28" ht="15.75" customHeight="1" s="169">
      <c r="B28" s="194" t="inlineStr">
        <is>
          <t>Equity risk premium</t>
        </is>
      </c>
      <c r="D28" s="322" t="n">
        <v>0.0445</v>
      </c>
    </row>
    <row r="29" ht="15.75" customHeight="1" s="169">
      <c r="B29" s="194" t="inlineStr">
        <is>
          <t>Beta (relevered)</t>
        </is>
      </c>
      <c r="D29" s="307">
        <f>J23</f>
        <v/>
      </c>
    </row>
    <row r="30" ht="15.75" customHeight="1" s="169">
      <c r="B30" s="209" t="inlineStr">
        <is>
          <t>Cost of equity</t>
        </is>
      </c>
      <c r="D30" s="323">
        <f>D27+D29*D28</f>
        <v/>
      </c>
    </row>
    <row r="31" ht="15.75" customHeight="1" s="169">
      <c r="B31" s="207" t="n"/>
      <c r="D31" s="324" t="n"/>
    </row>
    <row r="33" ht="15.75" customHeight="1" s="169">
      <c r="B33" s="272" t="inlineStr">
        <is>
          <t>Cost of debt</t>
        </is>
      </c>
      <c r="C33" s="272" t="n"/>
      <c r="D33" s="272" t="n"/>
      <c r="E33" s="272" t="n"/>
      <c r="F33" s="272" t="n"/>
      <c r="G33" s="272" t="n"/>
      <c r="H33" s="272" t="n"/>
      <c r="I33" s="272" t="n"/>
      <c r="J33" s="272" t="n"/>
    </row>
    <row r="34" ht="15.75" customHeight="1" s="169">
      <c r="B34" s="300" t="inlineStr">
        <is>
          <t>Notes issued Feb-26</t>
        </is>
      </c>
      <c r="C34" s="301" t="inlineStr">
        <is>
          <t>Principal ($mm)</t>
        </is>
      </c>
      <c r="D34" s="301" t="inlineStr">
        <is>
          <t>Coupon</t>
        </is>
      </c>
    </row>
    <row r="35" ht="15.75" customHeight="1" s="169">
      <c r="B35" s="194" t="inlineStr">
        <is>
          <t>4.250% due 2031</t>
        </is>
      </c>
      <c r="C35" s="325" t="n"/>
      <c r="D35" s="326" t="n"/>
    </row>
    <row r="36" ht="15.75" customHeight="1" s="169">
      <c r="B36" s="194" t="inlineStr">
        <is>
          <t>4.875% due 2036</t>
        </is>
      </c>
      <c r="C36" s="325" t="n"/>
      <c r="D36" s="326" t="n"/>
    </row>
    <row r="37" ht="15.75" customHeight="1" s="169">
      <c r="B37" s="194" t="inlineStr">
        <is>
          <t>5.500% due 2056</t>
        </is>
      </c>
      <c r="C37" s="325" t="n"/>
      <c r="D37" s="326" t="n"/>
    </row>
    <row r="38" ht="15.75" customHeight="1" s="169">
      <c r="B38" s="209" t="inlineStr">
        <is>
          <t>Pre-tax cost of debt</t>
        </is>
      </c>
      <c r="D38" s="323" t="n">
        <v>0.0351</v>
      </c>
    </row>
    <row r="39" ht="15.75" customHeight="1" s="169">
      <c r="B39" s="194" t="inlineStr">
        <is>
          <t>Tax rate</t>
        </is>
      </c>
      <c r="D39" s="319" t="n">
        <v>0.25</v>
      </c>
    </row>
    <row r="40" ht="15.75" customHeight="1" s="169">
      <c r="B40" s="209" t="inlineStr">
        <is>
          <t>After-tax cost of debt</t>
        </is>
      </c>
      <c r="D40" s="327">
        <f>D38*(1-D39)</f>
        <v/>
      </c>
    </row>
    <row r="42" ht="15.75" customHeight="1" s="169">
      <c r="B42" s="272" t="inlineStr">
        <is>
          <t>Capital structure</t>
        </is>
      </c>
      <c r="C42" s="272" t="n"/>
      <c r="D42" s="272" t="n"/>
      <c r="E42" s="272" t="n"/>
      <c r="F42" s="272" t="n"/>
      <c r="G42" s="272" t="n"/>
      <c r="H42" s="272" t="n"/>
      <c r="I42" s="272" t="n"/>
      <c r="J42" s="272" t="n"/>
    </row>
    <row r="43" ht="15.75" customHeight="1" s="169">
      <c r="B43" s="194" t="inlineStr">
        <is>
          <t>Market capitalisation ($mm)</t>
        </is>
      </c>
      <c r="D43" s="328" t="n">
        <v>158800</v>
      </c>
    </row>
    <row r="44" ht="15.75" customHeight="1" s="169">
      <c r="B44" s="194" t="inlineStr">
        <is>
          <t>% equity</t>
        </is>
      </c>
      <c r="D44" s="306">
        <f>D43/D47</f>
        <v/>
      </c>
    </row>
    <row r="45" ht="15.75" customHeight="1" s="169">
      <c r="B45" s="194" t="inlineStr">
        <is>
          <t>Total debt incl. leases ($mm)</t>
        </is>
      </c>
      <c r="D45" s="325" t="n">
        <v>8078</v>
      </c>
    </row>
    <row r="46" ht="15.75" customHeight="1" s="169">
      <c r="B46" s="194" t="inlineStr">
        <is>
          <t>% debt</t>
        </is>
      </c>
      <c r="D46" s="306">
        <f>D45/D47</f>
        <v/>
      </c>
    </row>
    <row r="47" ht="15.75" customHeight="1" s="169">
      <c r="B47" s="209" t="inlineStr">
        <is>
          <t>Total capital ($mm)</t>
        </is>
      </c>
      <c r="D47" s="329">
        <f>D43+D45</f>
        <v/>
      </c>
    </row>
    <row r="49" ht="15.75" customHeight="1" s="169">
      <c r="B49" s="209" t="inlineStr">
        <is>
          <t>WACC</t>
        </is>
      </c>
      <c r="D49" s="330">
        <f>D44*D30+D46*D40</f>
        <v/>
      </c>
    </row>
    <row r="52" ht="15.75" customHeight="1" s="169">
      <c r="B52" s="168" t="inlineStr">
        <is>
          <t>`</t>
        </is>
      </c>
    </row>
    <row r="54">
      <c r="B54" t="inlineStr">
        <is>
          <t>Note: debt in D45 is the Dec-25 balance ($8,078M). The 30-Jun-26 balance is $20,611M after the Boyd financing; using it would lower WACC to about 9.49%. The DCF keeps 9.74%.</t>
        </is>
      </c>
    </row>
    <row r="55">
      <c r="B55" t="inlineStr">
        <is>
          <t>Note: the notes listed in B35:B37 look carried over from the GE Vernova model. Pre-tax cost of debt (D38) is an input.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67"/>
  <sheetViews>
    <sheetView showFormulas="0" showGridLines="1" showRowColHeaders="1" showZeros="1" rightToLeft="0" tabSelected="0" showOutlineSymbols="1" defaultGridColor="1" view="normal" topLeftCell="A1" colorId="64" zoomScale="142" zoomScaleNormal="142" zoomScalePageLayoutView="100" workbookViewId="0">
      <pane xSplit="1" ySplit="5" topLeftCell="G39" activePane="bottomRight" state="frozen"/>
      <selection pane="topLeft" activeCell="A1" activeCellId="0" sqref="A1"/>
      <selection pane="topRight" activeCell="G1" activeCellId="0" sqref="G1"/>
      <selection pane="bottomLeft" activeCell="A39" activeCellId="0" sqref="A39"/>
      <selection pane="bottomRight" activeCell="M61" activeCellId="0" sqref="M61"/>
    </sheetView>
  </sheetViews>
  <sheetFormatPr baseColWidth="8" defaultColWidth="8.50390625" defaultRowHeight="15.75" zeroHeight="0" outlineLevelRow="0"/>
  <cols>
    <col width="45" customWidth="1" style="168" min="1" max="1"/>
    <col width="11" customWidth="1" style="168" min="2" max="10"/>
    <col width="3" customWidth="1" style="168" min="11" max="11"/>
    <col width="9" customWidth="1" style="168" min="12" max="12"/>
  </cols>
  <sheetData>
    <row r="1" ht="18" customHeight="1" s="169">
      <c r="A1" s="331" t="inlineStr">
        <is>
          <t>Eaton Corporation (NYSE: ETN): Balance Sheet</t>
        </is>
      </c>
      <c r="B1" s="250" t="n"/>
      <c r="C1" s="250" t="n"/>
      <c r="D1" s="250" t="n"/>
      <c r="E1" s="250" t="n"/>
      <c r="F1" s="250" t="n"/>
      <c r="G1" s="250" t="n"/>
      <c r="H1" s="250" t="n"/>
      <c r="I1" s="250" t="n"/>
      <c r="J1" s="250" t="n"/>
      <c r="K1" s="250" t="n"/>
      <c r="L1" s="250" t="n"/>
    </row>
    <row r="2" ht="15.75" customHeight="1" s="169">
      <c r="A2" s="250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0" t="n"/>
      <c r="K2" s="250" t="n"/>
      <c r="L2" s="250" t="n"/>
    </row>
    <row r="3" ht="15.75" customHeight="1" s="169">
      <c r="A3" s="250" t="n"/>
      <c r="B3" s="250" t="n"/>
      <c r="C3" s="250" t="n"/>
      <c r="D3" s="250" t="n"/>
      <c r="E3" s="250" t="n"/>
      <c r="F3" s="250" t="n"/>
      <c r="G3" s="250" t="n"/>
      <c r="H3" s="250" t="n"/>
      <c r="I3" s="250" t="n"/>
      <c r="J3" s="250" t="n"/>
      <c r="K3" s="250" t="n"/>
      <c r="L3" s="250" t="n"/>
    </row>
    <row r="4" ht="15.75" customHeight="1" s="169">
      <c r="A4" s="250" t="n"/>
      <c r="B4" s="278" t="inlineStr">
        <is>
          <t>Historical</t>
        </is>
      </c>
      <c r="C4" s="250" t="n"/>
      <c r="D4" s="250" t="n"/>
      <c r="E4" s="250" t="n"/>
      <c r="F4" s="278" t="inlineStr">
        <is>
          <t>Projected</t>
        </is>
      </c>
      <c r="G4" s="250" t="n"/>
      <c r="H4" s="250" t="n"/>
      <c r="I4" s="250" t="n"/>
      <c r="J4" s="250" t="n"/>
      <c r="K4" s="250" t="n"/>
      <c r="L4" s="250" t="n"/>
    </row>
    <row r="5" ht="15.75" customHeight="1" s="169">
      <c r="A5" s="251" t="inlineStr">
        <is>
          <t>Fiscal year ending Dec 31 ($mm)</t>
        </is>
      </c>
      <c r="B5" s="252" t="inlineStr">
        <is>
          <t>2022A</t>
        </is>
      </c>
      <c r="C5" s="252" t="inlineStr">
        <is>
          <t>2023A</t>
        </is>
      </c>
      <c r="D5" s="252" t="inlineStr">
        <is>
          <t>2024A</t>
        </is>
      </c>
      <c r="E5" s="252" t="inlineStr">
        <is>
          <t>2025A</t>
        </is>
      </c>
      <c r="F5" s="252" t="inlineStr">
        <is>
          <t>2026E</t>
        </is>
      </c>
      <c r="G5" s="252" t="inlineStr">
        <is>
          <t>2027E</t>
        </is>
      </c>
      <c r="H5" s="252" t="inlineStr">
        <is>
          <t>2028E</t>
        </is>
      </c>
      <c r="I5" s="252" t="inlineStr">
        <is>
          <t>2029E</t>
        </is>
      </c>
      <c r="J5" s="252" t="inlineStr">
        <is>
          <t>2030E</t>
        </is>
      </c>
      <c r="K5" s="250" t="n"/>
      <c r="L5" s="250" t="n"/>
    </row>
    <row r="6" ht="15.75" customHeight="1" s="169">
      <c r="A6" s="250" t="n"/>
      <c r="B6" s="250" t="n"/>
      <c r="C6" s="250" t="n"/>
      <c r="D6" s="250" t="n"/>
      <c r="E6" s="250" t="n"/>
      <c r="F6" s="250" t="n"/>
      <c r="G6" s="250" t="n"/>
      <c r="H6" s="250" t="n"/>
      <c r="I6" s="250" t="n"/>
      <c r="J6" s="250" t="n"/>
      <c r="K6" s="250" t="n"/>
      <c r="L6" s="250" t="n"/>
    </row>
    <row r="7" ht="15.75" customHeight="1" s="169">
      <c r="A7" s="278" t="inlineStr">
        <is>
          <t>Assets</t>
        </is>
      </c>
      <c r="B7" s="250" t="n"/>
      <c r="C7" s="250" t="n"/>
      <c r="D7" s="250" t="n"/>
      <c r="E7" s="250" t="n"/>
      <c r="F7" s="250" t="n"/>
      <c r="G7" s="250" t="n"/>
      <c r="H7" s="250" t="n"/>
      <c r="I7" s="250" t="n"/>
      <c r="J7" s="250" t="n"/>
      <c r="K7" s="250" t="n"/>
      <c r="L7" s="250" t="n"/>
    </row>
    <row r="8" ht="15.75" customHeight="1" s="169">
      <c r="A8" s="250" t="inlineStr">
        <is>
          <t>Cash</t>
        </is>
      </c>
      <c r="B8" s="253" t="n">
        <v>294</v>
      </c>
      <c r="C8" s="253" t="n">
        <v>488</v>
      </c>
      <c r="D8" s="253" t="n">
        <v>555</v>
      </c>
      <c r="E8" s="253" t="n">
        <v>622</v>
      </c>
      <c r="F8" s="254" t="n"/>
      <c r="G8" s="254" t="n"/>
      <c r="H8" s="254" t="n"/>
      <c r="I8" s="254" t="n"/>
      <c r="J8" s="254" t="n"/>
      <c r="K8" s="250" t="n"/>
      <c r="L8" s="250" t="n"/>
    </row>
    <row r="9" ht="15.75" customHeight="1" s="169">
      <c r="A9" s="250" t="inlineStr">
        <is>
          <t>Short-term investments</t>
        </is>
      </c>
      <c r="B9" s="253" t="n">
        <v>261</v>
      </c>
      <c r="C9" s="253" t="n">
        <v>2121</v>
      </c>
      <c r="D9" s="253" t="n">
        <v>1525</v>
      </c>
      <c r="E9" s="253" t="n">
        <v>181</v>
      </c>
      <c r="F9" s="254" t="n"/>
      <c r="G9" s="254" t="n"/>
      <c r="H9" s="254" t="n"/>
      <c r="I9" s="254" t="n"/>
      <c r="J9" s="254" t="n"/>
      <c r="K9" s="250" t="n"/>
      <c r="L9" s="250" t="n"/>
    </row>
    <row r="10" ht="15.75" customHeight="1" s="169">
      <c r="A10" s="250" t="inlineStr">
        <is>
          <t>Accounts receivable - net</t>
        </is>
      </c>
      <c r="B10" s="253" t="n">
        <v>4076</v>
      </c>
      <c r="C10" s="253" t="n">
        <v>4475</v>
      </c>
      <c r="D10" s="253" t="n">
        <v>4619</v>
      </c>
      <c r="E10" s="253" t="n">
        <v>5387</v>
      </c>
      <c r="F10" s="254" t="n"/>
      <c r="G10" s="254" t="n"/>
      <c r="H10" s="254" t="n"/>
      <c r="I10" s="254" t="n"/>
      <c r="J10" s="254" t="n"/>
      <c r="K10" s="250" t="n"/>
      <c r="L10" s="250" t="n"/>
    </row>
    <row r="11" ht="15.75" customHeight="1" s="169">
      <c r="A11" s="250" t="inlineStr">
        <is>
          <t>Inventory</t>
        </is>
      </c>
      <c r="B11" s="253" t="n">
        <v>3430</v>
      </c>
      <c r="C11" s="253" t="n">
        <v>3739</v>
      </c>
      <c r="D11" s="253" t="n">
        <v>4227</v>
      </c>
      <c r="E11" s="253" t="n">
        <v>4721</v>
      </c>
      <c r="F11" s="254" t="n"/>
      <c r="G11" s="254" t="n"/>
      <c r="H11" s="254" t="n"/>
      <c r="I11" s="254" t="n"/>
      <c r="J11" s="254" t="n"/>
      <c r="K11" s="250" t="n"/>
      <c r="L11" s="250" t="n"/>
    </row>
    <row r="12" ht="15.75" customHeight="1" s="169">
      <c r="A12" s="250" t="inlineStr">
        <is>
          <t>Prepaid expenses and other current assets</t>
        </is>
      </c>
      <c r="B12" s="253" t="n">
        <v>685</v>
      </c>
      <c r="C12" s="253" t="n">
        <v>851</v>
      </c>
      <c r="D12" s="253" t="n">
        <v>874</v>
      </c>
      <c r="E12" s="253" t="n">
        <v>1444</v>
      </c>
      <c r="F12" s="254" t="n"/>
      <c r="G12" s="254" t="n"/>
      <c r="H12" s="254" t="n"/>
      <c r="I12" s="254" t="n"/>
      <c r="J12" s="254" t="n"/>
      <c r="K12" s="250" t="n"/>
      <c r="L12" s="250" t="n"/>
    </row>
    <row r="13" ht="15.75" customHeight="1" s="169">
      <c r="A13" s="278" t="inlineStr">
        <is>
          <t>Total current assets</t>
        </is>
      </c>
      <c r="B13" s="332" t="n">
        <v>8746</v>
      </c>
      <c r="C13" s="332" t="n">
        <v>11675</v>
      </c>
      <c r="D13" s="332" t="n">
        <v>11801</v>
      </c>
      <c r="E13" s="332" t="n">
        <v>12355</v>
      </c>
      <c r="F13" s="257" t="n"/>
      <c r="G13" s="257" t="n"/>
      <c r="H13" s="257" t="n"/>
      <c r="I13" s="257" t="n"/>
      <c r="J13" s="257" t="n"/>
      <c r="K13" s="250" t="n"/>
      <c r="L13" s="250" t="n"/>
    </row>
    <row r="14" ht="15.75" customHeight="1" s="169">
      <c r="A14" s="250" t="inlineStr">
        <is>
          <t>Gross property, plant and equipment</t>
        </is>
      </c>
      <c r="B14" s="253" t="n">
        <v>8013</v>
      </c>
      <c r="C14" s="253" t="n">
        <v>8738</v>
      </c>
      <c r="D14" s="253" t="n">
        <v>9062</v>
      </c>
      <c r="E14" s="253" t="n">
        <v>10028</v>
      </c>
      <c r="F14" s="254" t="n"/>
      <c r="G14" s="254" t="n"/>
      <c r="H14" s="254" t="n"/>
      <c r="I14" s="254" t="n"/>
      <c r="J14" s="254" t="n"/>
      <c r="K14" s="250" t="n"/>
      <c r="L14" s="250" t="n"/>
    </row>
    <row r="15" ht="15.75" customHeight="1" s="169">
      <c r="A15" s="250" t="inlineStr">
        <is>
          <t>Accumulated depreciation</t>
        </is>
      </c>
      <c r="B15" s="253" t="n">
        <v>-4867</v>
      </c>
      <c r="C15" s="253" t="n">
        <v>-5208</v>
      </c>
      <c r="D15" s="253" t="n">
        <v>-5333</v>
      </c>
      <c r="E15" s="253" t="n">
        <v>-5712</v>
      </c>
      <c r="F15" s="254" t="n"/>
      <c r="G15" s="254" t="n"/>
      <c r="H15" s="254" t="n"/>
      <c r="I15" s="254" t="n"/>
      <c r="J15" s="254" t="n"/>
      <c r="K15" s="250" t="n"/>
      <c r="L15" s="250" t="n"/>
    </row>
    <row r="16" ht="15.75" customHeight="1" s="169">
      <c r="A16" s="278" t="inlineStr">
        <is>
          <t>Net property, plant and equipment</t>
        </is>
      </c>
      <c r="B16" s="332" t="n">
        <v>3146</v>
      </c>
      <c r="C16" s="332" t="n">
        <v>3530</v>
      </c>
      <c r="D16" s="332" t="n">
        <v>3729</v>
      </c>
      <c r="E16" s="332" t="n">
        <v>4316</v>
      </c>
      <c r="F16" s="257" t="n"/>
      <c r="G16" s="257" t="n"/>
      <c r="H16" s="257" t="n"/>
      <c r="I16" s="257" t="n"/>
      <c r="J16" s="257" t="n"/>
      <c r="K16" s="250" t="n"/>
      <c r="L16" s="250" t="n"/>
    </row>
    <row r="17" ht="15.75" customHeight="1" s="169">
      <c r="A17" s="250" t="inlineStr">
        <is>
          <t>Goodwill</t>
        </is>
      </c>
      <c r="B17" s="253" t="n">
        <v>14796</v>
      </c>
      <c r="C17" s="253" t="n">
        <v>14977</v>
      </c>
      <c r="D17" s="253" t="n">
        <v>14713</v>
      </c>
      <c r="E17" s="253" t="n">
        <v>15769</v>
      </c>
      <c r="F17" s="254" t="n"/>
      <c r="G17" s="254" t="n"/>
      <c r="H17" s="254" t="n"/>
      <c r="I17" s="254" t="n"/>
      <c r="J17" s="254" t="n"/>
      <c r="K17" s="250" t="n"/>
      <c r="L17" s="250" t="n"/>
    </row>
    <row r="18" ht="15.75" customHeight="1" s="169">
      <c r="A18" s="250" t="inlineStr">
        <is>
          <t>Other intangible assets</t>
        </is>
      </c>
      <c r="B18" s="253" t="n">
        <v>5485</v>
      </c>
      <c r="C18" s="253" t="n">
        <v>5091</v>
      </c>
      <c r="D18" s="253" t="n">
        <v>4658</v>
      </c>
      <c r="E18" s="253" t="n">
        <v>5054</v>
      </c>
      <c r="F18" s="254" t="n"/>
      <c r="G18" s="254" t="n"/>
      <c r="H18" s="254" t="n"/>
      <c r="I18" s="254" t="n"/>
      <c r="J18" s="254" t="n"/>
      <c r="K18" s="250" t="n"/>
      <c r="L18" s="250" t="n"/>
    </row>
    <row r="19" ht="15.75" customHeight="1" s="169">
      <c r="A19" s="250" t="inlineStr">
        <is>
          <t>Operating lease assets</t>
        </is>
      </c>
      <c r="B19" s="253" t="n">
        <v>570</v>
      </c>
      <c r="C19" s="253" t="n">
        <v>648</v>
      </c>
      <c r="D19" s="253" t="n">
        <v>806</v>
      </c>
      <c r="E19" s="253" t="n">
        <v>768</v>
      </c>
      <c r="F19" s="254" t="n"/>
      <c r="G19" s="254" t="n"/>
      <c r="H19" s="254" t="n"/>
      <c r="I19" s="254" t="n"/>
      <c r="J19" s="254" t="n"/>
      <c r="K19" s="250" t="n"/>
      <c r="L19" s="250" t="n"/>
    </row>
    <row r="20" ht="15.75" customHeight="1" s="169">
      <c r="A20" s="250" t="inlineStr">
        <is>
          <t>Deferred income taxes</t>
        </is>
      </c>
      <c r="B20" s="253" t="n">
        <v>330</v>
      </c>
      <c r="C20" s="253" t="n">
        <v>458</v>
      </c>
      <c r="D20" s="253" t="n">
        <v>609</v>
      </c>
      <c r="E20" s="253" t="n">
        <v>707</v>
      </c>
      <c r="F20" s="254" t="n"/>
      <c r="G20" s="254" t="n"/>
      <c r="H20" s="254" t="n"/>
      <c r="I20" s="254" t="n"/>
      <c r="J20" s="254" t="n"/>
      <c r="K20" s="250" t="n"/>
      <c r="L20" s="250" t="n"/>
    </row>
    <row r="21" ht="15.75" customHeight="1" s="169">
      <c r="A21" s="250" t="inlineStr">
        <is>
          <t>Other assets</t>
        </is>
      </c>
      <c r="B21" s="253" t="n">
        <v>1940</v>
      </c>
      <c r="C21" s="253" t="n">
        <v>2052</v>
      </c>
      <c r="D21" s="253" t="n">
        <v>2066</v>
      </c>
      <c r="E21" s="253" t="n">
        <v>2281</v>
      </c>
      <c r="F21" s="254" t="n"/>
      <c r="G21" s="254" t="n"/>
      <c r="H21" s="254" t="n"/>
      <c r="I21" s="254" t="n"/>
      <c r="J21" s="254" t="n"/>
      <c r="K21" s="250" t="n"/>
      <c r="L21" s="250" t="n"/>
    </row>
    <row r="22" ht="15.75" customHeight="1" s="169">
      <c r="A22" s="278" t="inlineStr">
        <is>
          <t>Total assets</t>
        </is>
      </c>
      <c r="B22" s="332" t="n">
        <v>35014</v>
      </c>
      <c r="C22" s="332" t="n">
        <v>38432</v>
      </c>
      <c r="D22" s="332" t="n">
        <v>38381</v>
      </c>
      <c r="E22" s="332" t="n">
        <v>41251</v>
      </c>
      <c r="F22" s="257" t="n"/>
      <c r="G22" s="257" t="n"/>
      <c r="H22" s="257" t="n"/>
      <c r="I22" s="257" t="n"/>
      <c r="J22" s="257" t="n"/>
      <c r="K22" s="250" t="n"/>
      <c r="L22" s="250" t="n"/>
    </row>
    <row r="23" ht="15.75" customHeight="1" s="169">
      <c r="A23" s="250" t="n"/>
      <c r="B23" s="250" t="n"/>
      <c r="C23" s="250" t="n"/>
      <c r="D23" s="250" t="n"/>
      <c r="E23" s="250" t="n"/>
      <c r="F23" s="250" t="n"/>
      <c r="G23" s="250" t="n"/>
      <c r="H23" s="250" t="n"/>
      <c r="I23" s="250" t="n"/>
      <c r="J23" s="250" t="n"/>
      <c r="K23" s="250" t="n"/>
      <c r="L23" s="250" t="n"/>
    </row>
    <row r="24" ht="15.75" customHeight="1" s="169">
      <c r="A24" s="278" t="inlineStr">
        <is>
          <t>Liabilities</t>
        </is>
      </c>
      <c r="B24" s="250" t="n"/>
      <c r="C24" s="250" t="n"/>
      <c r="D24" s="250" t="n"/>
      <c r="E24" s="250" t="n"/>
      <c r="F24" s="250" t="n"/>
      <c r="G24" s="250" t="n"/>
      <c r="H24" s="250" t="n"/>
      <c r="I24" s="250" t="n"/>
      <c r="J24" s="250" t="n"/>
      <c r="K24" s="250" t="n"/>
      <c r="L24" s="250" t="n"/>
    </row>
    <row r="25" ht="15.75" customHeight="1" s="169">
      <c r="A25" s="250" t="inlineStr">
        <is>
          <t>Short-term debt</t>
        </is>
      </c>
      <c r="B25" s="253" t="n">
        <v>324</v>
      </c>
      <c r="C25" s="253" t="n">
        <v>8</v>
      </c>
      <c r="D25" s="253" t="n">
        <v>0</v>
      </c>
      <c r="E25" s="253" t="n">
        <v>1</v>
      </c>
      <c r="F25" s="254" t="n"/>
      <c r="G25" s="254" t="n"/>
      <c r="H25" s="254" t="n"/>
      <c r="I25" s="254" t="n"/>
      <c r="J25" s="254" t="n"/>
      <c r="K25" s="250" t="n"/>
      <c r="L25" s="250" t="n"/>
    </row>
    <row r="26" ht="15.75" customHeight="1" s="169">
      <c r="A26" s="250" t="inlineStr">
        <is>
          <t>Current portion of long-term debt</t>
        </is>
      </c>
      <c r="B26" s="253" t="n">
        <v>10</v>
      </c>
      <c r="C26" s="253" t="n">
        <v>1017</v>
      </c>
      <c r="D26" s="253" t="n">
        <v>674</v>
      </c>
      <c r="E26" s="253" t="n">
        <v>1136</v>
      </c>
      <c r="F26" s="254" t="n"/>
      <c r="G26" s="254" t="n"/>
      <c r="H26" s="254" t="n"/>
      <c r="I26" s="254" t="n"/>
      <c r="J26" s="254" t="n"/>
      <c r="K26" s="250" t="n"/>
      <c r="L26" s="250" t="n"/>
    </row>
    <row r="27" ht="15.75" customHeight="1" s="169">
      <c r="A27" s="250" t="inlineStr">
        <is>
          <t>Accounts payable</t>
        </is>
      </c>
      <c r="B27" s="253" t="n">
        <v>3072</v>
      </c>
      <c r="C27" s="253" t="n">
        <v>3365</v>
      </c>
      <c r="D27" s="253" t="n">
        <v>3678</v>
      </c>
      <c r="E27" s="253" t="n">
        <v>4168</v>
      </c>
      <c r="F27" s="254" t="n"/>
      <c r="G27" s="254" t="n"/>
      <c r="H27" s="254" t="n"/>
      <c r="I27" s="254" t="n"/>
      <c r="J27" s="254" t="n"/>
      <c r="K27" s="250" t="n"/>
      <c r="L27" s="250" t="n"/>
    </row>
    <row r="28" ht="15.75" customHeight="1" s="169">
      <c r="A28" s="250" t="inlineStr">
        <is>
          <t>Accrued compensation</t>
        </is>
      </c>
      <c r="B28" s="253" t="n">
        <v>467</v>
      </c>
      <c r="C28" s="253" t="n">
        <v>676</v>
      </c>
      <c r="D28" s="253" t="n">
        <v>670</v>
      </c>
      <c r="E28" s="253" t="n">
        <v>644</v>
      </c>
      <c r="F28" s="254" t="n"/>
      <c r="G28" s="254" t="n"/>
      <c r="H28" s="254" t="n"/>
      <c r="I28" s="254" t="n"/>
      <c r="J28" s="254" t="n"/>
      <c r="K28" s="250" t="n"/>
      <c r="L28" s="250" t="n"/>
    </row>
    <row r="29" ht="15.75" customHeight="1" s="169">
      <c r="A29" s="250" t="inlineStr">
        <is>
          <t>Other current liabilities</t>
        </is>
      </c>
      <c r="B29" s="253" t="n">
        <v>2488</v>
      </c>
      <c r="C29" s="253" t="n">
        <v>2680</v>
      </c>
      <c r="D29" s="253" t="n">
        <v>2835</v>
      </c>
      <c r="E29" s="253" t="n">
        <v>3421</v>
      </c>
      <c r="F29" s="254" t="n"/>
      <c r="G29" s="254" t="n"/>
      <c r="H29" s="254" t="n"/>
      <c r="I29" s="254" t="n"/>
      <c r="J29" s="254" t="n"/>
      <c r="K29" s="250" t="n"/>
      <c r="L29" s="250" t="n"/>
    </row>
    <row r="30" ht="15.75" customHeight="1" s="169">
      <c r="A30" s="278" t="inlineStr">
        <is>
          <t>Total current liabilities</t>
        </is>
      </c>
      <c r="B30" s="332" t="n">
        <v>6360</v>
      </c>
      <c r="C30" s="332" t="n">
        <v>7747</v>
      </c>
      <c r="D30" s="332" t="n">
        <v>7857</v>
      </c>
      <c r="E30" s="332" t="n">
        <v>9370</v>
      </c>
      <c r="F30" s="257" t="n"/>
      <c r="G30" s="257" t="n"/>
      <c r="H30" s="257" t="n"/>
      <c r="I30" s="257" t="n"/>
      <c r="J30" s="257" t="n"/>
      <c r="K30" s="250" t="n"/>
      <c r="L30" s="250" t="n"/>
    </row>
    <row r="31" ht="15.75" customHeight="1" s="169">
      <c r="A31" s="250" t="inlineStr">
        <is>
          <t>Long-term debt</t>
        </is>
      </c>
      <c r="B31" s="253" t="n">
        <v>8321</v>
      </c>
      <c r="C31" s="253" t="n">
        <v>8244</v>
      </c>
      <c r="D31" s="253" t="n">
        <v>8478</v>
      </c>
      <c r="E31" s="253" t="n">
        <v>8758</v>
      </c>
      <c r="F31" s="254" t="n"/>
      <c r="G31" s="254" t="n"/>
      <c r="H31" s="254" t="n"/>
      <c r="I31" s="254" t="n"/>
      <c r="J31" s="254" t="n"/>
      <c r="K31" s="250" t="n"/>
      <c r="L31" s="250" t="n"/>
    </row>
    <row r="32" ht="15.75" customHeight="1" s="169">
      <c r="A32" s="250" t="inlineStr">
        <is>
          <t>Pension liabilities</t>
        </is>
      </c>
      <c r="B32" s="253" t="n">
        <v>649</v>
      </c>
      <c r="C32" s="253" t="n">
        <v>768</v>
      </c>
      <c r="D32" s="253" t="n">
        <v>741</v>
      </c>
      <c r="E32" s="253" t="n">
        <v>702</v>
      </c>
      <c r="F32" s="254" t="n"/>
      <c r="G32" s="254" t="n"/>
      <c r="H32" s="254" t="n"/>
      <c r="I32" s="254" t="n"/>
      <c r="J32" s="254" t="n"/>
      <c r="K32" s="250" t="n"/>
      <c r="L32" s="250" t="n"/>
    </row>
    <row r="33" ht="15.75" customHeight="1" s="169">
      <c r="A33" s="250" t="inlineStr">
        <is>
          <t>Other postretirement benefits liabilities</t>
        </is>
      </c>
      <c r="B33" s="253" t="n">
        <v>177</v>
      </c>
      <c r="C33" s="253" t="n">
        <v>180</v>
      </c>
      <c r="D33" s="253" t="n">
        <v>164</v>
      </c>
      <c r="E33" s="253" t="n">
        <v>161</v>
      </c>
      <c r="F33" s="254" t="n"/>
      <c r="G33" s="254" t="n"/>
      <c r="H33" s="254" t="n"/>
      <c r="I33" s="254" t="n"/>
      <c r="J33" s="254" t="n"/>
      <c r="K33" s="250" t="n"/>
      <c r="L33" s="250" t="n"/>
    </row>
    <row r="34" ht="15.75" customHeight="1" s="169">
      <c r="A34" s="250" t="inlineStr">
        <is>
          <t>Operating lease liabilities</t>
        </is>
      </c>
      <c r="B34" s="253" t="n">
        <v>459</v>
      </c>
      <c r="C34" s="253" t="n">
        <v>533</v>
      </c>
      <c r="D34" s="253" t="n">
        <v>669</v>
      </c>
      <c r="E34" s="253" t="n">
        <v>637</v>
      </c>
      <c r="F34" s="254" t="n"/>
      <c r="G34" s="254" t="n"/>
      <c r="H34" s="254" t="n"/>
      <c r="I34" s="254" t="n"/>
      <c r="J34" s="254" t="n"/>
      <c r="K34" s="250" t="n"/>
      <c r="L34" s="250" t="n"/>
    </row>
    <row r="35" ht="15.75" customHeight="1" s="169">
      <c r="A35" s="250" t="inlineStr">
        <is>
          <t>Deferred income taxes</t>
        </is>
      </c>
      <c r="B35" s="253" t="n">
        <v>530</v>
      </c>
      <c r="C35" s="253" t="n">
        <v>402</v>
      </c>
      <c r="D35" s="253" t="n">
        <v>275</v>
      </c>
      <c r="E35" s="253" t="n">
        <v>265</v>
      </c>
      <c r="F35" s="254" t="n"/>
      <c r="G35" s="254" t="n"/>
      <c r="H35" s="254" t="n"/>
      <c r="I35" s="254" t="n"/>
      <c r="J35" s="254" t="n"/>
      <c r="K35" s="250" t="n"/>
      <c r="L35" s="250" t="n"/>
    </row>
    <row r="36" ht="15.75" customHeight="1" s="169">
      <c r="A36" s="250" t="inlineStr">
        <is>
          <t>Other noncurrent liabilities</t>
        </is>
      </c>
      <c r="B36" s="253" t="n">
        <v>1444</v>
      </c>
      <c r="C36" s="253" t="n">
        <v>1489</v>
      </c>
      <c r="D36" s="253" t="n">
        <v>1667</v>
      </c>
      <c r="E36" s="253" t="n">
        <v>1889</v>
      </c>
      <c r="F36" s="254" t="n"/>
      <c r="G36" s="254" t="n"/>
      <c r="H36" s="254" t="n"/>
      <c r="I36" s="254" t="n"/>
      <c r="J36" s="254" t="n"/>
      <c r="K36" s="250" t="n"/>
      <c r="L36" s="250" t="n"/>
    </row>
    <row r="37" ht="15.75" customHeight="1" s="169">
      <c r="A37" s="278" t="inlineStr">
        <is>
          <t>Total noncurrent liabilities</t>
        </is>
      </c>
      <c r="B37" s="332" t="n">
        <v>11580</v>
      </c>
      <c r="C37" s="332" t="n">
        <v>11616</v>
      </c>
      <c r="D37" s="332" t="n">
        <v>11994</v>
      </c>
      <c r="E37" s="332" t="n">
        <v>12412</v>
      </c>
      <c r="F37" s="257" t="n"/>
      <c r="G37" s="257" t="n"/>
      <c r="H37" s="257" t="n"/>
      <c r="I37" s="257" t="n"/>
      <c r="J37" s="257" t="n"/>
      <c r="K37" s="250" t="n"/>
      <c r="L37" s="250" t="n"/>
    </row>
    <row r="38" ht="15.75" customHeight="1" s="169">
      <c r="A38" s="278" t="inlineStr">
        <is>
          <t>Total liabilities</t>
        </is>
      </c>
      <c r="B38" s="333">
        <f>B49-B48</f>
        <v/>
      </c>
      <c r="C38" s="333">
        <f>C49-C48</f>
        <v/>
      </c>
      <c r="D38" s="333">
        <f>D49-D48</f>
        <v/>
      </c>
      <c r="E38" s="333">
        <f>E49-E48</f>
        <v/>
      </c>
      <c r="F38" s="254" t="n"/>
      <c r="G38" s="254" t="n"/>
      <c r="H38" s="254" t="n"/>
      <c r="I38" s="254" t="n"/>
      <c r="J38" s="254" t="n"/>
      <c r="K38" s="250" t="n"/>
      <c r="L38" s="250" t="n"/>
    </row>
    <row r="39" ht="15.75" customHeight="1" s="169">
      <c r="A39" s="250" t="n"/>
      <c r="B39" s="250" t="n"/>
      <c r="C39" s="250" t="n"/>
      <c r="D39" s="250" t="n"/>
      <c r="E39" s="250" t="n"/>
      <c r="F39" s="250" t="n"/>
      <c r="G39" s="250" t="n"/>
      <c r="H39" s="250" t="n"/>
      <c r="I39" s="250" t="n"/>
      <c r="J39" s="250" t="n"/>
      <c r="K39" s="250" t="n"/>
      <c r="L39" s="250" t="n"/>
    </row>
    <row r="40" ht="15.75" customHeight="1" s="169">
      <c r="A40" s="278" t="inlineStr">
        <is>
          <t>Shareholders' equity</t>
        </is>
      </c>
      <c r="B40" s="250" t="n"/>
      <c r="C40" s="250" t="n"/>
      <c r="D40" s="250" t="n"/>
      <c r="E40" s="250" t="n"/>
      <c r="F40" s="250" t="n"/>
      <c r="G40" s="250" t="n"/>
      <c r="H40" s="250" t="n"/>
      <c r="I40" s="250" t="n"/>
      <c r="J40" s="250" t="n"/>
      <c r="K40" s="250" t="n"/>
      <c r="L40" s="250" t="n"/>
    </row>
    <row r="41" ht="15.75" customHeight="1" s="169">
      <c r="A41" s="250" t="inlineStr">
        <is>
          <t>Ordinary shares</t>
        </is>
      </c>
      <c r="B41" s="253" t="n">
        <v>4</v>
      </c>
      <c r="C41" s="253" t="n">
        <v>4</v>
      </c>
      <c r="D41" s="253" t="n">
        <v>4</v>
      </c>
      <c r="E41" s="253" t="n">
        <v>4</v>
      </c>
      <c r="F41" s="254" t="n"/>
      <c r="G41" s="254" t="n"/>
      <c r="H41" s="254" t="n"/>
      <c r="I41" s="254" t="n"/>
      <c r="J41" s="254" t="n"/>
      <c r="K41" s="250" t="n"/>
      <c r="L41" s="250" t="n"/>
    </row>
    <row r="42" ht="15.75" customHeight="1" s="169">
      <c r="A42" s="250" t="inlineStr">
        <is>
          <t>Capital in excess of par value</t>
        </is>
      </c>
      <c r="B42" s="253" t="n">
        <v>12512</v>
      </c>
      <c r="C42" s="253" t="n">
        <v>12634</v>
      </c>
      <c r="D42" s="253" t="n">
        <v>12731</v>
      </c>
      <c r="E42" s="253" t="n">
        <v>12837</v>
      </c>
      <c r="F42" s="254" t="n"/>
      <c r="G42" s="254" t="n"/>
      <c r="H42" s="254" t="n"/>
      <c r="I42" s="254" t="n"/>
      <c r="J42" s="254" t="n"/>
      <c r="K42" s="250" t="n"/>
      <c r="L42" s="250" t="n"/>
    </row>
    <row r="43" ht="15.75" customHeight="1" s="169">
      <c r="A43" s="250" t="inlineStr">
        <is>
          <t>Retained earnings</t>
        </is>
      </c>
      <c r="B43" s="253" t="n">
        <v>8468</v>
      </c>
      <c r="C43" s="253" t="n">
        <v>10305</v>
      </c>
      <c r="D43" s="253" t="n">
        <v>10096</v>
      </c>
      <c r="E43" s="253" t="n">
        <v>10702</v>
      </c>
      <c r="F43" s="254" t="n"/>
      <c r="G43" s="254" t="n"/>
      <c r="H43" s="254" t="n"/>
      <c r="I43" s="254" t="n"/>
      <c r="J43" s="254" t="n"/>
      <c r="K43" s="250" t="n"/>
      <c r="L43" s="250" t="n"/>
    </row>
    <row r="44" ht="15.75" customHeight="1" s="169">
      <c r="A44" s="250" t="inlineStr">
        <is>
          <t>Accumulated other comprehensive loss</t>
        </is>
      </c>
      <c r="B44" s="253" t="n">
        <v>-3946</v>
      </c>
      <c r="C44" s="253" t="n">
        <v>-3906</v>
      </c>
      <c r="D44" s="253" t="n">
        <v>-4342</v>
      </c>
      <c r="E44" s="253" t="n">
        <v>-4118</v>
      </c>
      <c r="F44" s="254" t="n"/>
      <c r="G44" s="254" t="n"/>
      <c r="H44" s="254" t="n"/>
      <c r="I44" s="254" t="n"/>
      <c r="J44" s="254" t="n"/>
      <c r="K44" s="250" t="n"/>
      <c r="L44" s="250" t="n"/>
    </row>
    <row r="45" ht="15.75" customHeight="1" s="169">
      <c r="A45" s="250" t="inlineStr">
        <is>
          <t>Shares held in trust</t>
        </is>
      </c>
      <c r="B45" s="253" t="n">
        <v>-1</v>
      </c>
      <c r="C45" s="253" t="n">
        <v>-1</v>
      </c>
      <c r="D45" s="253" t="n">
        <v>-1</v>
      </c>
      <c r="E45" s="253" t="n">
        <v>0</v>
      </c>
      <c r="F45" s="254" t="n"/>
      <c r="G45" s="254" t="n"/>
      <c r="H45" s="254" t="n"/>
      <c r="I45" s="254" t="n"/>
      <c r="J45" s="254" t="n"/>
      <c r="K45" s="250" t="n"/>
      <c r="L45" s="250" t="n"/>
    </row>
    <row r="46" ht="15.75" customHeight="1" s="169">
      <c r="A46" s="278" t="inlineStr">
        <is>
          <t>Total Eaton shareholders' equity</t>
        </is>
      </c>
      <c r="B46" s="332" t="n">
        <v>17038</v>
      </c>
      <c r="C46" s="332" t="n">
        <v>19036</v>
      </c>
      <c r="D46" s="332" t="n">
        <v>18488</v>
      </c>
      <c r="E46" s="332" t="n">
        <v>19425</v>
      </c>
      <c r="F46" s="257" t="n"/>
      <c r="G46" s="257" t="n"/>
      <c r="H46" s="257" t="n"/>
      <c r="I46" s="257" t="n"/>
      <c r="J46" s="257" t="n"/>
      <c r="K46" s="250" t="n"/>
      <c r="L46" s="250" t="n"/>
    </row>
    <row r="47" ht="15.75" customHeight="1" s="169">
      <c r="A47" s="250" t="inlineStr">
        <is>
          <t>Noncontrolling interests</t>
        </is>
      </c>
      <c r="B47" s="253" t="n">
        <v>38</v>
      </c>
      <c r="C47" s="253" t="n">
        <v>33</v>
      </c>
      <c r="D47" s="253" t="n">
        <v>43</v>
      </c>
      <c r="E47" s="253" t="n">
        <v>44</v>
      </c>
      <c r="F47" s="254" t="n"/>
      <c r="G47" s="254" t="n"/>
      <c r="H47" s="254" t="n"/>
      <c r="I47" s="254" t="n"/>
      <c r="J47" s="254" t="n"/>
      <c r="K47" s="250" t="n"/>
      <c r="L47" s="250" t="n"/>
    </row>
    <row r="48" ht="15.75" customHeight="1" s="169">
      <c r="A48" s="278" t="inlineStr">
        <is>
          <t>Total equity</t>
        </is>
      </c>
      <c r="B48" s="334" t="n">
        <v>17075</v>
      </c>
      <c r="C48" s="334" t="n">
        <v>19069</v>
      </c>
      <c r="D48" s="334" t="n">
        <v>18531</v>
      </c>
      <c r="E48" s="334" t="n">
        <v>19469</v>
      </c>
      <c r="F48" s="254" t="n"/>
      <c r="G48" s="254" t="n"/>
      <c r="H48" s="254" t="n"/>
      <c r="I48" s="254" t="n"/>
      <c r="J48" s="254" t="n"/>
      <c r="K48" s="250" t="n"/>
      <c r="L48" s="250" t="n"/>
    </row>
    <row r="49" ht="15.75" customHeight="1" s="169">
      <c r="A49" s="278" t="inlineStr">
        <is>
          <t>Total liabilities and equity</t>
        </is>
      </c>
      <c r="B49" s="332" t="n">
        <v>35014</v>
      </c>
      <c r="C49" s="332" t="n">
        <v>38432</v>
      </c>
      <c r="D49" s="332" t="n">
        <v>38381</v>
      </c>
      <c r="E49" s="332" t="n">
        <v>41251</v>
      </c>
      <c r="F49" s="257" t="n"/>
      <c r="G49" s="257" t="n"/>
      <c r="H49" s="257" t="n"/>
      <c r="I49" s="257" t="n"/>
      <c r="J49" s="257" t="n"/>
      <c r="K49" s="250" t="n"/>
      <c r="L49" s="250" t="n"/>
    </row>
    <row r="50" ht="15.75" customHeight="1" s="169">
      <c r="A50" s="250" t="n"/>
      <c r="B50" s="250" t="n"/>
      <c r="C50" s="250" t="n"/>
      <c r="D50" s="250" t="n"/>
      <c r="E50" s="250" t="n"/>
      <c r="F50" s="250" t="n"/>
      <c r="G50" s="250" t="n"/>
      <c r="H50" s="250" t="n"/>
      <c r="I50" s="250" t="n"/>
      <c r="J50" s="250" t="n"/>
      <c r="K50" s="250" t="n"/>
      <c r="L50" s="250" t="n"/>
    </row>
    <row r="51" ht="15.75" customHeight="1" s="169">
      <c r="A51" s="278" t="inlineStr">
        <is>
          <t>Other</t>
        </is>
      </c>
      <c r="B51" s="250" t="n"/>
      <c r="C51" s="250" t="n"/>
      <c r="D51" s="250" t="n"/>
      <c r="E51" s="250" t="n"/>
      <c r="F51" s="250" t="n"/>
      <c r="G51" s="250" t="n"/>
      <c r="H51" s="250" t="n"/>
      <c r="I51" s="250" t="n"/>
      <c r="J51" s="250" t="n"/>
      <c r="K51" s="250" t="n"/>
      <c r="L51" s="250" t="n"/>
    </row>
    <row r="52" ht="15.75" customHeight="1" s="169">
      <c r="A52" s="250" t="inlineStr">
        <is>
          <t>Ordinary shares outstanding at year end (mm)</t>
        </is>
      </c>
      <c r="B52" s="259" t="n">
        <v>397.8</v>
      </c>
      <c r="C52" s="259" t="n">
        <v>399.4</v>
      </c>
      <c r="D52" s="259" t="n">
        <v>392.9</v>
      </c>
      <c r="E52" s="259" t="n">
        <v>387.9</v>
      </c>
      <c r="F52" s="260" t="n"/>
      <c r="G52" s="260" t="n"/>
      <c r="H52" s="260" t="n"/>
      <c r="I52" s="260" t="n"/>
      <c r="J52" s="260" t="n"/>
      <c r="K52" s="250" t="n"/>
      <c r="L52" s="250" t="n"/>
    </row>
    <row r="53" ht="15.75" customHeight="1" s="169">
      <c r="A53" s="250" t="inlineStr">
        <is>
          <t>Total debt</t>
        </is>
      </c>
      <c r="B53" s="254">
        <f>B25+B26+B31</f>
        <v/>
      </c>
      <c r="C53" s="254">
        <f>C25+C26+C31</f>
        <v/>
      </c>
      <c r="D53" s="254">
        <f>D25+D26+D31</f>
        <v/>
      </c>
      <c r="E53" s="254">
        <f>E25+E26+E31</f>
        <v/>
      </c>
      <c r="F53" s="254" t="n"/>
      <c r="G53" s="254" t="n"/>
      <c r="H53" s="254" t="n"/>
      <c r="I53" s="254" t="n"/>
      <c r="J53" s="254" t="n"/>
      <c r="K53" s="250" t="n"/>
      <c r="L53" s="250" t="n"/>
    </row>
    <row r="54" ht="15.75" customHeight="1" s="169">
      <c r="A54" s="250" t="inlineStr">
        <is>
          <t>Cash and short-term investments</t>
        </is>
      </c>
      <c r="B54" s="254">
        <f>B8+B9</f>
        <v/>
      </c>
      <c r="C54" s="254">
        <f>C8+C9</f>
        <v/>
      </c>
      <c r="D54" s="254">
        <f>D8+D9</f>
        <v/>
      </c>
      <c r="E54" s="254">
        <f>E8+E9</f>
        <v/>
      </c>
      <c r="F54" s="254" t="n"/>
      <c r="G54" s="254" t="n"/>
      <c r="H54" s="254" t="n"/>
      <c r="I54" s="254" t="n"/>
      <c r="J54" s="254" t="n"/>
      <c r="K54" s="250" t="n"/>
      <c r="L54" s="250" t="n"/>
    </row>
    <row r="55" ht="15.75" customHeight="1" s="169">
      <c r="A55" s="278" t="inlineStr">
        <is>
          <t>Net debt</t>
        </is>
      </c>
      <c r="B55" s="333">
        <f>B53-B54</f>
        <v/>
      </c>
      <c r="C55" s="333">
        <f>C53-C54</f>
        <v/>
      </c>
      <c r="D55" s="333">
        <f>D53-D54</f>
        <v/>
      </c>
      <c r="E55" s="333">
        <f>E53-E54</f>
        <v/>
      </c>
      <c r="F55" s="254" t="n"/>
      <c r="G55" s="254" t="n"/>
      <c r="H55" s="254" t="n"/>
      <c r="I55" s="254" t="n"/>
      <c r="J55" s="254" t="n"/>
      <c r="K55" s="250" t="n"/>
      <c r="L55" s="250" t="n"/>
    </row>
    <row r="56" ht="15.75" customHeight="1" s="169">
      <c r="A56" s="250" t="inlineStr">
        <is>
          <t>Net working capital (AR + inventory - AP)</t>
        </is>
      </c>
      <c r="B56" s="254">
        <f>B10+B11-B27</f>
        <v/>
      </c>
      <c r="C56" s="254">
        <f>C10+C11-C27</f>
        <v/>
      </c>
      <c r="D56" s="254">
        <f>D10+D11-D27</f>
        <v/>
      </c>
      <c r="E56" s="254">
        <f>E10+E11-E27</f>
        <v/>
      </c>
      <c r="F56" s="254" t="n"/>
      <c r="G56" s="254" t="n"/>
      <c r="H56" s="254" t="n"/>
      <c r="I56" s="254" t="n"/>
      <c r="J56" s="254" t="n"/>
      <c r="K56" s="250" t="n"/>
      <c r="L56" s="250" t="n"/>
    </row>
    <row r="57" ht="15.75" customHeight="1" s="169">
      <c r="A57" s="250" t="inlineStr">
        <is>
          <t xml:space="preserve">  as % of net sales</t>
        </is>
      </c>
      <c r="B57" s="255">
        <f>IF('Income Statement'!B8=0,0,B56/'Income Statement'!B8)</f>
        <v/>
      </c>
      <c r="C57" s="255">
        <f>IF('Income Statement'!C8=0,0,C56/'Income Statement'!C8)</f>
        <v/>
      </c>
      <c r="D57" s="255">
        <f>IF('Income Statement'!D8=0,0,D56/'Income Statement'!D8)</f>
        <v/>
      </c>
      <c r="E57" s="255">
        <f>IF('Income Statement'!E8=0,0,E56/'Income Statement'!E8)</f>
        <v/>
      </c>
      <c r="F57" s="255" t="n"/>
      <c r="G57" s="255" t="n"/>
      <c r="H57" s="255" t="n"/>
      <c r="I57" s="255" t="n"/>
      <c r="J57" s="255" t="n"/>
      <c r="K57" s="250" t="n"/>
      <c r="L57" s="250" t="n"/>
    </row>
    <row r="58" ht="15.75" customHeight="1" s="169">
      <c r="A58" s="250" t="n"/>
      <c r="B58" s="250" t="n"/>
      <c r="C58" s="250" t="n"/>
      <c r="D58" s="250" t="n"/>
      <c r="E58" s="250" t="n"/>
      <c r="F58" s="250" t="n"/>
      <c r="G58" s="250" t="n"/>
      <c r="H58" s="250" t="n"/>
      <c r="I58" s="250" t="n"/>
      <c r="J58" s="250" t="n"/>
      <c r="K58" s="250" t="n"/>
      <c r="L58" s="250" t="n"/>
    </row>
    <row r="59" ht="15.75" customHeight="1" s="169">
      <c r="A59" s="250" t="n"/>
      <c r="B59" s="250" t="n"/>
      <c r="C59" s="250" t="n"/>
      <c r="D59" s="250" t="n"/>
      <c r="E59" s="250" t="n"/>
      <c r="F59" s="250" t="n"/>
      <c r="G59" s="250" t="n"/>
      <c r="H59" s="250" t="n"/>
      <c r="I59" s="250" t="n"/>
      <c r="J59" s="250" t="n"/>
      <c r="K59" s="250" t="n"/>
      <c r="L59" s="250" t="n"/>
    </row>
    <row r="60" ht="15.75" customHeight="1" s="169">
      <c r="A60" s="264" t="n"/>
      <c r="B60" s="254" t="n"/>
      <c r="C60" s="254" t="n"/>
      <c r="D60" s="254" t="n"/>
      <c r="E60" s="254" t="n"/>
      <c r="F60" s="254" t="n"/>
      <c r="G60" s="254" t="n"/>
      <c r="H60" s="254" t="n"/>
      <c r="I60" s="254" t="n"/>
      <c r="J60" s="254" t="n"/>
      <c r="K60" s="250" t="n"/>
      <c r="L60" s="250" t="n"/>
    </row>
    <row r="61" ht="15.75" customHeight="1" s="169">
      <c r="A61" s="264" t="n"/>
      <c r="B61" s="254" t="n"/>
      <c r="C61" s="254" t="n"/>
      <c r="D61" s="254" t="n"/>
      <c r="E61" s="254" t="n"/>
      <c r="F61" s="254" t="n"/>
      <c r="G61" s="254" t="n"/>
      <c r="H61" s="254" t="n"/>
      <c r="I61" s="254" t="n"/>
      <c r="J61" s="254" t="n"/>
      <c r="K61" s="250" t="n"/>
      <c r="L61" s="250" t="n"/>
    </row>
    <row r="62" ht="15.75" customHeight="1" s="169">
      <c r="A62" s="264" t="n"/>
      <c r="B62" s="254" t="n"/>
      <c r="C62" s="254" t="n"/>
      <c r="D62" s="254" t="n"/>
      <c r="E62" s="254" t="n"/>
      <c r="F62" s="250" t="n"/>
      <c r="G62" s="250" t="n"/>
      <c r="H62" s="250" t="n"/>
      <c r="I62" s="250" t="n"/>
      <c r="J62" s="250" t="n"/>
      <c r="K62" s="250" t="n"/>
      <c r="L62" s="250" t="n"/>
    </row>
    <row r="63" ht="15.75" customHeight="1" s="169">
      <c r="A63" s="250" t="n"/>
      <c r="B63" s="250" t="n"/>
      <c r="C63" s="250" t="n"/>
      <c r="D63" s="250" t="n"/>
      <c r="E63" s="250" t="n"/>
      <c r="F63" s="250" t="n"/>
      <c r="G63" s="250" t="n"/>
      <c r="H63" s="250" t="n"/>
      <c r="I63" s="250" t="n"/>
      <c r="J63" s="250" t="n"/>
      <c r="K63" s="250" t="n"/>
      <c r="L63" s="250" t="n"/>
    </row>
    <row r="64" ht="15.75" customHeight="1" s="169">
      <c r="A64" s="250" t="n"/>
      <c r="B64" s="250" t="n"/>
      <c r="C64" s="250" t="n"/>
      <c r="D64" s="250" t="n"/>
      <c r="E64" s="250" t="n"/>
      <c r="F64" s="250" t="n"/>
      <c r="G64" s="250" t="n"/>
      <c r="H64" s="250" t="n"/>
      <c r="I64" s="250" t="n"/>
      <c r="J64" s="250" t="n"/>
      <c r="K64" s="250" t="n"/>
      <c r="L64" s="250" t="n"/>
    </row>
    <row r="65" ht="15.75" customHeight="1" s="169">
      <c r="A65" s="250" t="n"/>
      <c r="B65" s="250" t="n"/>
      <c r="C65" s="250" t="n"/>
      <c r="D65" s="250" t="n"/>
      <c r="E65" s="250" t="n"/>
      <c r="F65" s="250" t="n"/>
      <c r="G65" s="250" t="n"/>
      <c r="H65" s="250" t="n"/>
      <c r="I65" s="250" t="n"/>
      <c r="J65" s="250" t="n"/>
      <c r="K65" s="250" t="n"/>
      <c r="L65" s="250" t="n"/>
    </row>
    <row r="66" ht="15.75" customHeight="1" s="169">
      <c r="A66" s="250" t="n"/>
      <c r="B66" s="250" t="n"/>
      <c r="C66" s="250" t="n"/>
      <c r="D66" s="250" t="n"/>
      <c r="E66" s="250" t="n"/>
      <c r="F66" s="250" t="n"/>
      <c r="G66" s="250" t="n"/>
      <c r="H66" s="250" t="n"/>
      <c r="I66" s="250" t="n"/>
      <c r="J66" s="250" t="n"/>
      <c r="K66" s="250" t="n"/>
      <c r="L66" s="250" t="n"/>
    </row>
    <row r="67" ht="15.75" customHeight="1" s="169">
      <c r="A67" s="250" t="n"/>
      <c r="B67" s="250" t="n"/>
      <c r="C67" s="250" t="n"/>
      <c r="D67" s="250" t="n"/>
      <c r="E67" s="250" t="n"/>
      <c r="F67" s="250" t="n"/>
      <c r="G67" s="250" t="n"/>
      <c r="H67" s="250" t="n"/>
      <c r="I67" s="250" t="n"/>
      <c r="J67" s="250" t="n"/>
      <c r="K67" s="250" t="n"/>
      <c r="L67" s="25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71"/>
  <sheetViews>
    <sheetView showFormulas="0" showGridLines="1" showRowColHeaders="1" showZeros="1" rightToLeft="0" tabSelected="0" showOutlineSymbols="1" defaultGridColor="1" view="normal" topLeftCell="A1" colorId="64" zoomScale="134" zoomScaleNormal="134" zoomScalePageLayoutView="100" workbookViewId="0">
      <pane xSplit="1" ySplit="5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F29" activeCellId="0" sqref="F29"/>
    </sheetView>
  </sheetViews>
  <sheetFormatPr baseColWidth="8" defaultColWidth="8.50390625" defaultRowHeight="15.75" zeroHeight="0" outlineLevelRow="0"/>
  <cols>
    <col width="45" customWidth="1" style="168" min="1" max="1"/>
    <col width="11" customWidth="1" style="168" min="2" max="10"/>
    <col width="3" customWidth="1" style="168" min="11" max="11"/>
    <col width="9" customWidth="1" style="168" min="12" max="12"/>
  </cols>
  <sheetData>
    <row r="1" ht="18" customHeight="1" s="169">
      <c r="A1" s="331" t="inlineStr">
        <is>
          <t>Eaton Corporation (NYSE: ETN): Cash Flow Statement</t>
        </is>
      </c>
      <c r="B1" s="250" t="n"/>
      <c r="C1" s="250" t="n"/>
      <c r="D1" s="250" t="n"/>
      <c r="E1" s="250" t="n"/>
      <c r="F1" s="250" t="n"/>
      <c r="G1" s="250" t="n"/>
      <c r="H1" s="250" t="n"/>
      <c r="I1" s="250" t="n"/>
      <c r="J1" s="250" t="n"/>
      <c r="K1" s="250" t="n"/>
      <c r="L1" s="250" t="n"/>
    </row>
    <row r="2" ht="15.75" customHeight="1" s="169">
      <c r="A2" s="250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0" t="n"/>
      <c r="K2" s="250" t="n"/>
      <c r="L2" s="250" t="n"/>
    </row>
    <row r="3" ht="15.75" customHeight="1" s="169">
      <c r="A3" s="250" t="n"/>
      <c r="B3" s="250" t="n"/>
      <c r="C3" s="250" t="n"/>
      <c r="D3" s="250" t="n"/>
      <c r="E3" s="250" t="n"/>
      <c r="F3" s="250" t="n">
        <v>1</v>
      </c>
      <c r="G3" s="250" t="n">
        <v>2</v>
      </c>
      <c r="H3" s="250" t="n">
        <v>3</v>
      </c>
      <c r="I3" s="250" t="n">
        <v>4</v>
      </c>
      <c r="J3" s="250" t="n"/>
      <c r="K3" s="250" t="n"/>
      <c r="L3" s="250" t="n"/>
    </row>
    <row r="4" ht="15.75" customHeight="1" s="169">
      <c r="A4" s="250" t="n"/>
      <c r="B4" s="278" t="inlineStr">
        <is>
          <t>Historical</t>
        </is>
      </c>
      <c r="C4" s="250" t="n"/>
      <c r="D4" s="250" t="n"/>
      <c r="E4" s="250" t="n"/>
      <c r="F4" s="278" t="inlineStr">
        <is>
          <t>Projected</t>
        </is>
      </c>
      <c r="G4" s="250" t="n"/>
      <c r="H4" s="250" t="n"/>
      <c r="I4" s="250" t="n"/>
      <c r="J4" s="250" t="n"/>
      <c r="K4" s="250" t="n"/>
      <c r="L4" s="250" t="n"/>
    </row>
    <row r="5" ht="15.75" customHeight="1" s="169">
      <c r="A5" s="251" t="inlineStr">
        <is>
          <t>Fiscal year ending Dec 31 ($mm)</t>
        </is>
      </c>
      <c r="B5" s="252" t="inlineStr">
        <is>
          <t>2022A</t>
        </is>
      </c>
      <c r="C5" s="252" t="inlineStr">
        <is>
          <t>2023A</t>
        </is>
      </c>
      <c r="D5" s="252" t="inlineStr">
        <is>
          <t>2024A</t>
        </is>
      </c>
      <c r="E5" s="252" t="inlineStr">
        <is>
          <t>2025A</t>
        </is>
      </c>
      <c r="F5" s="252" t="inlineStr">
        <is>
          <t>2026E</t>
        </is>
      </c>
      <c r="G5" s="252" t="inlineStr">
        <is>
          <t>2027E</t>
        </is>
      </c>
      <c r="H5" s="252" t="inlineStr">
        <is>
          <t>2028E</t>
        </is>
      </c>
      <c r="I5" s="252" t="inlineStr">
        <is>
          <t>2029E</t>
        </is>
      </c>
      <c r="J5" s="252" t="inlineStr">
        <is>
          <t>2030E</t>
        </is>
      </c>
      <c r="K5" s="250" t="n"/>
      <c r="L5" s="250" t="n"/>
    </row>
    <row r="6" ht="15.75" customHeight="1" s="169">
      <c r="A6" s="250" t="n"/>
      <c r="B6" s="250" t="n"/>
      <c r="C6" s="250" t="n"/>
      <c r="D6" s="250" t="n"/>
      <c r="E6" s="250" t="n"/>
      <c r="F6" s="250" t="n"/>
      <c r="G6" s="250" t="n"/>
      <c r="H6" s="250" t="n"/>
      <c r="I6" s="250" t="n"/>
      <c r="J6" s="250" t="n"/>
      <c r="K6" s="250" t="n"/>
      <c r="L6" s="250" t="n"/>
    </row>
    <row r="7" ht="15.75" customHeight="1" s="169">
      <c r="A7" s="278" t="inlineStr">
        <is>
          <t>Operating activities</t>
        </is>
      </c>
      <c r="B7" s="250" t="n"/>
      <c r="C7" s="250" t="n"/>
      <c r="D7" s="250" t="n"/>
      <c r="E7" s="250" t="n"/>
      <c r="F7" s="250" t="n"/>
      <c r="G7" s="250" t="n"/>
      <c r="H7" s="250" t="n"/>
      <c r="I7" s="250" t="n"/>
      <c r="J7" s="250" t="n"/>
      <c r="K7" s="250" t="n"/>
      <c r="L7" s="250" t="n"/>
    </row>
    <row r="8" ht="15.75" customHeight="1" s="169">
      <c r="A8" s="250" t="inlineStr">
        <is>
          <t>Net income</t>
        </is>
      </c>
      <c r="B8" s="254">
        <f>'Income Statement'!B23</f>
        <v/>
      </c>
      <c r="C8" s="254">
        <f>'Income Statement'!C23</f>
        <v/>
      </c>
      <c r="D8" s="254">
        <f>'Income Statement'!D23</f>
        <v/>
      </c>
      <c r="E8" s="254">
        <f>'Income Statement'!E23</f>
        <v/>
      </c>
      <c r="F8" s="254">
        <f>E8*(F9+1)</f>
        <v/>
      </c>
      <c r="G8" s="254">
        <f>F8*(G9+1)</f>
        <v/>
      </c>
      <c r="H8" s="254">
        <f>G8*(H9+1)</f>
        <v/>
      </c>
      <c r="I8" s="254">
        <f>H8*(I9+1)</f>
        <v/>
      </c>
      <c r="J8" s="254">
        <f>I8*(J9+1)</f>
        <v/>
      </c>
      <c r="K8" s="250" t="n"/>
      <c r="L8" s="250" t="n"/>
    </row>
    <row r="9" ht="15.75" customHeight="1" s="169">
      <c r="A9" s="250" t="n"/>
      <c r="B9" s="254" t="n"/>
      <c r="C9" s="256">
        <f>(C8-B8)/B8</f>
        <v/>
      </c>
      <c r="D9" s="256">
        <f>(D8-C8)/C8</f>
        <v/>
      </c>
      <c r="E9" s="256">
        <f>(E8-D8)/D8</f>
        <v/>
      </c>
      <c r="F9" s="256">
        <f>$E$9-($E$9-$J$9)*(F$3/5)</f>
        <v/>
      </c>
      <c r="G9" s="256">
        <f>$E$9-($E$9-$J$9)*(G$3/5)</f>
        <v/>
      </c>
      <c r="H9" s="256">
        <f>$E$9-($E$9-$J$9)*(H$3/5)</f>
        <v/>
      </c>
      <c r="I9" s="256">
        <f>$E$9-($E$9-$J$9)*(I$3/5)</f>
        <v/>
      </c>
      <c r="J9" s="256" t="n">
        <v>0.02</v>
      </c>
      <c r="K9" s="250" t="n"/>
      <c r="L9" s="250" t="n"/>
    </row>
    <row r="10" ht="15.75" customHeight="1" s="169">
      <c r="A10" s="250" t="inlineStr">
        <is>
          <t>Depreciation and amortization</t>
        </is>
      </c>
      <c r="B10" s="253" t="n">
        <v>954</v>
      </c>
      <c r="C10" s="253" t="n">
        <v>926</v>
      </c>
      <c r="D10" s="253" t="n">
        <v>921</v>
      </c>
      <c r="E10" s="253" t="n">
        <v>1006</v>
      </c>
      <c r="F10" s="254" t="n"/>
      <c r="G10" s="254" t="n"/>
      <c r="H10" s="254" t="n"/>
      <c r="I10" s="254" t="n"/>
      <c r="J10" s="254" t="n"/>
      <c r="K10" s="250" t="n"/>
      <c r="L10" s="250" t="n"/>
    </row>
    <row r="11" ht="15.75" customHeight="1" s="169">
      <c r="A11" s="250" t="inlineStr">
        <is>
          <t>Deferred income taxes</t>
        </is>
      </c>
      <c r="B11" s="253" t="n">
        <v>-128</v>
      </c>
      <c r="C11" s="253" t="n">
        <v>-182</v>
      </c>
      <c r="D11" s="253" t="n">
        <v>-154</v>
      </c>
      <c r="E11" s="253" t="n">
        <v>45</v>
      </c>
      <c r="F11" s="254" t="n"/>
      <c r="G11" s="254" t="n"/>
      <c r="H11" s="254" t="n"/>
      <c r="I11" s="254" t="n"/>
      <c r="J11" s="254" t="n"/>
      <c r="K11" s="250" t="n"/>
      <c r="L11" s="250" t="n"/>
    </row>
    <row r="12" ht="15.75" customHeight="1" s="169">
      <c r="A12" s="250" t="inlineStr">
        <is>
          <t>Pension and other postretirement benefits expense</t>
        </is>
      </c>
      <c r="B12" s="253" t="n">
        <v>54</v>
      </c>
      <c r="C12" s="253" t="n">
        <v>15</v>
      </c>
      <c r="D12" s="253" t="n">
        <v>24</v>
      </c>
      <c r="E12" s="253" t="n">
        <v>43</v>
      </c>
      <c r="F12" s="254" t="n"/>
      <c r="G12" s="254" t="n"/>
      <c r="H12" s="254" t="n"/>
      <c r="I12" s="254" t="n"/>
      <c r="J12" s="254" t="n"/>
      <c r="K12" s="250" t="n"/>
      <c r="L12" s="250" t="n"/>
    </row>
    <row r="13" ht="15.75" customHeight="1" s="169">
      <c r="A13" s="250" t="inlineStr">
        <is>
          <t>Contributions to pension plans</t>
        </is>
      </c>
      <c r="B13" s="253" t="n">
        <v>-116</v>
      </c>
      <c r="C13" s="253" t="n">
        <v>-113</v>
      </c>
      <c r="D13" s="253" t="n">
        <v>-110</v>
      </c>
      <c r="E13" s="253" t="n">
        <v>-124</v>
      </c>
      <c r="F13" s="254" t="n"/>
      <c r="G13" s="254" t="n"/>
      <c r="H13" s="254" t="n"/>
      <c r="I13" s="254" t="n"/>
      <c r="J13" s="254" t="n"/>
      <c r="K13" s="250" t="n"/>
      <c r="L13" s="250" t="n"/>
    </row>
    <row r="14" ht="15.75" customHeight="1" s="169">
      <c r="A14" s="250" t="inlineStr">
        <is>
          <t>Contributions to other postretirement benefits plans</t>
        </is>
      </c>
      <c r="B14" s="253" t="n">
        <v>-24</v>
      </c>
      <c r="C14" s="253" t="n">
        <v>-20</v>
      </c>
      <c r="D14" s="253" t="n">
        <v>-18</v>
      </c>
      <c r="E14" s="253" t="n">
        <v>-16</v>
      </c>
      <c r="F14" s="254" t="n"/>
      <c r="G14" s="254" t="n"/>
      <c r="H14" s="254" t="n"/>
      <c r="I14" s="254" t="n"/>
      <c r="J14" s="254" t="n"/>
      <c r="K14" s="250" t="n"/>
      <c r="L14" s="250" t="n"/>
    </row>
    <row r="15" ht="15.75" customHeight="1" s="169">
      <c r="A15" s="250" t="inlineStr">
        <is>
          <t>Gain on sale of business</t>
        </is>
      </c>
      <c r="B15" s="253" t="n">
        <v>-24</v>
      </c>
      <c r="C15" s="253" t="n">
        <v>0</v>
      </c>
      <c r="D15" s="253" t="n">
        <v>0</v>
      </c>
      <c r="E15" s="253" t="n">
        <v>0</v>
      </c>
      <c r="F15" s="254" t="n"/>
      <c r="G15" s="254" t="n"/>
      <c r="H15" s="254" t="n"/>
      <c r="I15" s="254" t="n"/>
      <c r="J15" s="254" t="n"/>
      <c r="K15" s="250" t="n"/>
      <c r="L15" s="250" t="n"/>
    </row>
    <row r="16" ht="15.75" customHeight="1" s="169">
      <c r="A16" s="250" t="inlineStr">
        <is>
          <t>Change in accounts receivable - net</t>
        </is>
      </c>
      <c r="B16" s="253" t="n">
        <v>-743</v>
      </c>
      <c r="C16" s="253" t="n">
        <v>-341</v>
      </c>
      <c r="D16" s="253" t="n">
        <v>-215</v>
      </c>
      <c r="E16" s="253" t="n">
        <v>-420</v>
      </c>
      <c r="F16" s="254" t="n"/>
      <c r="G16" s="254" t="n"/>
      <c r="H16" s="254" t="n"/>
      <c r="I16" s="254" t="n"/>
      <c r="J16" s="254" t="n"/>
      <c r="K16" s="250" t="n"/>
      <c r="L16" s="250" t="n"/>
    </row>
    <row r="17" ht="15.75" customHeight="1" s="169">
      <c r="A17" s="250" t="inlineStr">
        <is>
          <t>Change in inventory</t>
        </is>
      </c>
      <c r="B17" s="253" t="n">
        <v>-490</v>
      </c>
      <c r="C17" s="253" t="n">
        <v>-282</v>
      </c>
      <c r="D17" s="253" t="n">
        <v>-566</v>
      </c>
      <c r="E17" s="253" t="n">
        <v>-256</v>
      </c>
      <c r="F17" s="254" t="n"/>
      <c r="G17" s="254" t="n"/>
      <c r="H17" s="254" t="n"/>
      <c r="I17" s="254" t="n"/>
      <c r="J17" s="254" t="n"/>
      <c r="K17" s="250" t="n"/>
      <c r="L17" s="250" t="n"/>
    </row>
    <row r="18" ht="15.75" customHeight="1" s="169">
      <c r="A18" s="250" t="inlineStr">
        <is>
          <t>Change in unbilled receivables</t>
        </is>
      </c>
      <c r="B18" s="253" t="n">
        <v>0</v>
      </c>
      <c r="C18" s="253" t="n">
        <v>-54</v>
      </c>
      <c r="D18" s="253" t="n">
        <v>-52</v>
      </c>
      <c r="E18" s="253" t="n">
        <v>-357</v>
      </c>
      <c r="F18" s="254" t="n"/>
      <c r="G18" s="254" t="n"/>
      <c r="H18" s="254" t="n"/>
      <c r="I18" s="254" t="n"/>
      <c r="J18" s="254" t="n"/>
      <c r="K18" s="250" t="n"/>
      <c r="L18" s="250" t="n"/>
    </row>
    <row r="19" ht="15.75" customHeight="1" s="169">
      <c r="A19" s="250" t="inlineStr">
        <is>
          <t>Change in accounts payable</t>
        </is>
      </c>
      <c r="B19" s="253" t="n">
        <v>334</v>
      </c>
      <c r="C19" s="253" t="n">
        <v>256</v>
      </c>
      <c r="D19" s="253" t="n">
        <v>399</v>
      </c>
      <c r="E19" s="253" t="n">
        <v>332</v>
      </c>
      <c r="F19" s="254" t="n"/>
      <c r="G19" s="254" t="n"/>
      <c r="H19" s="254" t="n"/>
      <c r="I19" s="254" t="n"/>
      <c r="J19" s="254" t="n"/>
      <c r="K19" s="250" t="n"/>
      <c r="L19" s="250" t="n"/>
    </row>
    <row r="20" ht="15.75" customHeight="1" s="169">
      <c r="A20" s="250" t="inlineStr">
        <is>
          <t>Change in accrued compensation</t>
        </is>
      </c>
      <c r="B20" s="253" t="n">
        <v>-16</v>
      </c>
      <c r="C20" s="253" t="n">
        <v>197</v>
      </c>
      <c r="D20" s="253" t="n">
        <v>21</v>
      </c>
      <c r="E20" s="253" t="n">
        <v>-50</v>
      </c>
      <c r="F20" s="254" t="n"/>
      <c r="G20" s="254" t="n"/>
      <c r="H20" s="254" t="n"/>
      <c r="I20" s="254" t="n"/>
      <c r="J20" s="254" t="n"/>
      <c r="K20" s="250" t="n"/>
      <c r="L20" s="250" t="n"/>
    </row>
    <row r="21" ht="15.75" customHeight="1" s="169">
      <c r="A21" s="250" t="inlineStr">
        <is>
          <t>Change in accrued income and other taxes</t>
        </is>
      </c>
      <c r="B21" s="253" t="n">
        <v>170</v>
      </c>
      <c r="C21" s="253" t="n">
        <v>61</v>
      </c>
      <c r="D21" s="253" t="n">
        <v>142</v>
      </c>
      <c r="E21" s="253" t="n">
        <v>-116</v>
      </c>
      <c r="F21" s="254" t="n"/>
      <c r="G21" s="254" t="n"/>
      <c r="H21" s="254" t="n"/>
      <c r="I21" s="254" t="n"/>
      <c r="J21" s="254" t="n"/>
      <c r="K21" s="250" t="n"/>
      <c r="L21" s="250" t="n"/>
    </row>
    <row r="22" ht="15.75" customHeight="1" s="169">
      <c r="A22" s="250" t="inlineStr">
        <is>
          <t>Change in deferred revenue liabilities</t>
        </is>
      </c>
      <c r="B22" s="253" t="n">
        <v>0</v>
      </c>
      <c r="C22" s="253" t="n">
        <v>119</v>
      </c>
      <c r="D22" s="253" t="n">
        <v>2</v>
      </c>
      <c r="E22" s="253" t="n">
        <v>202</v>
      </c>
      <c r="F22" s="254" t="n"/>
      <c r="G22" s="254" t="n"/>
      <c r="H22" s="254" t="n"/>
      <c r="I22" s="254" t="n"/>
      <c r="J22" s="254" t="n"/>
      <c r="K22" s="250" t="n"/>
      <c r="L22" s="250" t="n"/>
    </row>
    <row r="23" ht="15.75" customHeight="1" s="169">
      <c r="A23" s="250" t="inlineStr">
        <is>
          <t>Change in other current assets</t>
        </is>
      </c>
      <c r="B23" s="253" t="n">
        <v>-179</v>
      </c>
      <c r="C23" s="253" t="n">
        <v>-58</v>
      </c>
      <c r="D23" s="253" t="n">
        <v>-27</v>
      </c>
      <c r="E23" s="253" t="n">
        <v>-198</v>
      </c>
      <c r="F23" s="254" t="n"/>
      <c r="G23" s="254" t="n"/>
      <c r="H23" s="254" t="n"/>
      <c r="I23" s="254" t="n"/>
      <c r="J23" s="254" t="n"/>
      <c r="K23" s="250" t="n"/>
      <c r="L23" s="250" t="n"/>
    </row>
    <row r="24" ht="15.75" customHeight="1" s="169">
      <c r="A24" s="250" t="inlineStr">
        <is>
          <t>Change in other current liabilities</t>
        </is>
      </c>
      <c r="B24" s="253" t="n">
        <v>236</v>
      </c>
      <c r="C24" s="253" t="n">
        <v>-47</v>
      </c>
      <c r="D24" s="253" t="n">
        <v>77</v>
      </c>
      <c r="E24" s="253" t="n">
        <v>145</v>
      </c>
      <c r="F24" s="254" t="n"/>
      <c r="G24" s="254" t="n"/>
      <c r="H24" s="254" t="n"/>
      <c r="I24" s="254" t="n"/>
      <c r="J24" s="254" t="n"/>
      <c r="K24" s="250" t="n"/>
      <c r="L24" s="250" t="n"/>
    </row>
    <row r="25" ht="15.75" customHeight="1" s="169">
      <c r="A25" s="250" t="inlineStr">
        <is>
          <t>Other - net</t>
        </is>
      </c>
      <c r="B25" s="253" t="n">
        <v>40</v>
      </c>
      <c r="C25" s="253" t="n">
        <v>-76</v>
      </c>
      <c r="D25" s="253" t="n">
        <v>85</v>
      </c>
      <c r="E25" s="253" t="n">
        <v>146</v>
      </c>
      <c r="F25" s="254" t="n"/>
      <c r="G25" s="254" t="n"/>
      <c r="H25" s="254" t="n"/>
      <c r="I25" s="254" t="n"/>
      <c r="J25" s="254" t="n"/>
      <c r="K25" s="250" t="n"/>
      <c r="L25" s="250" t="n"/>
    </row>
    <row r="26" ht="15.75" customHeight="1" s="169">
      <c r="A26" s="278" t="inlineStr">
        <is>
          <t>Net cash provided by operating activities</t>
        </is>
      </c>
      <c r="B26" s="332" t="n">
        <v>2533</v>
      </c>
      <c r="C26" s="332" t="n">
        <v>3624</v>
      </c>
      <c r="D26" s="332" t="n">
        <v>4327</v>
      </c>
      <c r="E26" s="332" t="n">
        <v>4472</v>
      </c>
      <c r="F26" s="257" t="n"/>
      <c r="G26" s="257" t="n"/>
      <c r="H26" s="257" t="n"/>
      <c r="I26" s="257" t="n"/>
      <c r="J26" s="257" t="n"/>
      <c r="K26" s="250" t="n"/>
      <c r="L26" s="250" t="n"/>
    </row>
    <row r="27" ht="15.75" customHeight="1" s="169">
      <c r="A27" s="250" t="n"/>
      <c r="B27" s="250" t="n"/>
      <c r="C27" s="250" t="n"/>
      <c r="D27" s="250" t="n"/>
      <c r="E27" s="250" t="n"/>
      <c r="F27" s="250" t="n"/>
      <c r="G27" s="250" t="n"/>
      <c r="H27" s="250" t="n"/>
      <c r="I27" s="250" t="n"/>
      <c r="J27" s="250" t="n"/>
      <c r="K27" s="250" t="n"/>
      <c r="L27" s="250" t="n"/>
    </row>
    <row r="28" ht="15.75" customHeight="1" s="169">
      <c r="A28" s="278" t="inlineStr">
        <is>
          <t>Investing activities</t>
        </is>
      </c>
      <c r="B28" s="250" t="n"/>
      <c r="C28" s="250" t="n"/>
      <c r="D28" s="250" t="n"/>
      <c r="E28" s="250" t="n"/>
      <c r="F28" s="250" t="n"/>
      <c r="G28" s="250" t="n"/>
      <c r="H28" s="250" t="n"/>
      <c r="I28" s="250" t="n"/>
      <c r="J28" s="250" t="n"/>
      <c r="K28" s="250" t="n"/>
      <c r="L28" s="250" t="n"/>
    </row>
    <row r="29" ht="15.75" customHeight="1" s="169">
      <c r="A29" s="250" t="inlineStr">
        <is>
          <t>Capital expenditures</t>
        </is>
      </c>
      <c r="B29" s="253" t="n">
        <v>-598</v>
      </c>
      <c r="C29" s="253" t="n">
        <v>-757</v>
      </c>
      <c r="D29" s="253" t="n">
        <v>-808</v>
      </c>
      <c r="E29" s="253" t="n">
        <v>-919</v>
      </c>
      <c r="F29" s="254" t="n">
        <v>-1000</v>
      </c>
      <c r="G29" s="254" t="n">
        <v>-1100</v>
      </c>
      <c r="H29" s="254" t="n">
        <v>-1200</v>
      </c>
      <c r="I29" s="254" t="n">
        <v>-1300</v>
      </c>
      <c r="J29" s="254" t="n">
        <v>-1400</v>
      </c>
      <c r="K29" s="250" t="n"/>
      <c r="L29" s="250" t="n"/>
    </row>
    <row r="30" ht="15.75" customHeight="1" s="169">
      <c r="A30" s="250" t="inlineStr">
        <is>
          <t>Acquisitions of businesses, net of cash acquired</t>
        </is>
      </c>
      <c r="B30" s="253" t="n">
        <v>-610</v>
      </c>
      <c r="C30" s="253" t="n">
        <v>0</v>
      </c>
      <c r="D30" s="253" t="n">
        <v>-50</v>
      </c>
      <c r="E30" s="253" t="n">
        <v>-1490</v>
      </c>
      <c r="F30" s="254" t="n"/>
      <c r="G30" s="254" t="n"/>
      <c r="H30" s="254" t="n"/>
      <c r="I30" s="254" t="n"/>
      <c r="J30" s="254" t="n"/>
      <c r="K30" s="250" t="n"/>
      <c r="L30" s="250" t="n"/>
    </row>
    <row r="31" ht="15.75" customHeight="1" s="169">
      <c r="A31" s="250" t="inlineStr">
        <is>
          <t>Proceeds from sales of businesses, net</t>
        </is>
      </c>
      <c r="B31" s="253" t="n">
        <v>31</v>
      </c>
      <c r="C31" s="253" t="n">
        <v>0</v>
      </c>
      <c r="D31" s="253" t="n">
        <v>0</v>
      </c>
      <c r="E31" s="253" t="n">
        <v>0</v>
      </c>
      <c r="F31" s="254" t="n"/>
      <c r="G31" s="254" t="n"/>
      <c r="H31" s="254" t="n"/>
      <c r="I31" s="254" t="n"/>
      <c r="J31" s="254" t="n"/>
      <c r="K31" s="250" t="n"/>
      <c r="L31" s="250" t="n"/>
    </row>
    <row r="32" ht="15.75" customHeight="1" s="169">
      <c r="A32" s="250" t="inlineStr">
        <is>
          <t>Proceeds from sales of property, plant and equipment</t>
        </is>
      </c>
      <c r="B32" s="253" t="n">
        <v>163</v>
      </c>
      <c r="C32" s="253" t="n">
        <v>76</v>
      </c>
      <c r="D32" s="253" t="n">
        <v>85</v>
      </c>
      <c r="E32" s="253" t="n">
        <v>80</v>
      </c>
      <c r="F32" s="254" t="n"/>
      <c r="G32" s="254" t="n"/>
      <c r="H32" s="254" t="n"/>
      <c r="I32" s="254" t="n"/>
      <c r="J32" s="254" t="n"/>
      <c r="K32" s="250" t="n"/>
      <c r="L32" s="250" t="n"/>
    </row>
    <row r="33" ht="15.75" customHeight="1" s="169">
      <c r="A33" s="250" t="inlineStr">
        <is>
          <t>Investments in associate companies</t>
        </is>
      </c>
      <c r="B33" s="253" t="n">
        <v>-42</v>
      </c>
      <c r="C33" s="253" t="n">
        <v>-68</v>
      </c>
      <c r="D33" s="253" t="n">
        <v>-70</v>
      </c>
      <c r="E33" s="253" t="n">
        <v>-16</v>
      </c>
      <c r="F33" s="254" t="n"/>
      <c r="G33" s="254" t="n"/>
      <c r="H33" s="254" t="n"/>
      <c r="I33" s="254" t="n"/>
      <c r="J33" s="254" t="n"/>
      <c r="K33" s="250" t="n"/>
      <c r="L33" s="250" t="n"/>
    </row>
    <row r="34" ht="15.75" customHeight="1" s="169">
      <c r="A34" s="250" t="inlineStr">
        <is>
          <t>Return of investment from associate companies</t>
        </is>
      </c>
      <c r="B34" s="253" t="n">
        <v>0</v>
      </c>
      <c r="C34" s="253" t="n">
        <v>9</v>
      </c>
      <c r="D34" s="253" t="n">
        <v>33</v>
      </c>
      <c r="E34" s="253" t="n">
        <v>0</v>
      </c>
      <c r="F34" s="254" t="n"/>
      <c r="G34" s="254" t="n"/>
      <c r="H34" s="254" t="n"/>
      <c r="I34" s="254" t="n"/>
      <c r="J34" s="254" t="n"/>
      <c r="K34" s="250" t="n"/>
      <c r="L34" s="250" t="n"/>
    </row>
    <row r="35" ht="15.75" customHeight="1" s="169">
      <c r="A35" s="250" t="inlineStr">
        <is>
          <t>Sales (purchases) of short-term investments - net</t>
        </is>
      </c>
      <c r="B35" s="253" t="n">
        <v>-19</v>
      </c>
      <c r="C35" s="253" t="n">
        <v>-1861</v>
      </c>
      <c r="D35" s="253" t="n">
        <v>575</v>
      </c>
      <c r="E35" s="253" t="n">
        <v>1339</v>
      </c>
      <c r="F35" s="254" t="n"/>
      <c r="G35" s="254" t="n"/>
      <c r="H35" s="254" t="n"/>
      <c r="I35" s="254" t="n"/>
      <c r="J35" s="254" t="n"/>
      <c r="K35" s="250" t="n"/>
      <c r="L35" s="250" t="n"/>
    </row>
    <row r="36" ht="15.75" customHeight="1" s="169">
      <c r="A36" s="250" t="inlineStr">
        <is>
          <t>Settlement of currency exchange contracts - net</t>
        </is>
      </c>
      <c r="B36" s="253" t="n">
        <v>-47</v>
      </c>
      <c r="C36" s="253" t="n">
        <v>92</v>
      </c>
      <c r="D36" s="253" t="n">
        <v>-3</v>
      </c>
      <c r="E36" s="253" t="n">
        <v>3</v>
      </c>
      <c r="F36" s="254" t="n"/>
      <c r="G36" s="254" t="n"/>
      <c r="H36" s="254" t="n"/>
      <c r="I36" s="254" t="n"/>
      <c r="J36" s="254" t="n"/>
      <c r="K36" s="250" t="n"/>
      <c r="L36" s="250" t="n"/>
    </row>
    <row r="37" ht="15.75" customHeight="1" s="169">
      <c r="A37" s="250" t="inlineStr">
        <is>
          <t>Other - net</t>
        </is>
      </c>
      <c r="B37" s="253" t="n">
        <v>-79</v>
      </c>
      <c r="C37" s="253" t="n">
        <v>-65</v>
      </c>
      <c r="D37" s="253" t="n">
        <v>-32</v>
      </c>
      <c r="E37" s="253" t="n">
        <v>-98</v>
      </c>
      <c r="F37" s="254" t="n"/>
      <c r="G37" s="254" t="n"/>
      <c r="H37" s="254" t="n"/>
      <c r="I37" s="254" t="n"/>
      <c r="J37" s="254" t="n"/>
      <c r="K37" s="250" t="n"/>
      <c r="L37" s="250" t="n"/>
    </row>
    <row r="38" ht="15.75" customHeight="1" s="169">
      <c r="A38" s="278" t="inlineStr">
        <is>
          <t>Net cash used in investing activities</t>
        </is>
      </c>
      <c r="B38" s="332" t="n">
        <v>-1200</v>
      </c>
      <c r="C38" s="332" t="n">
        <v>-2575</v>
      </c>
      <c r="D38" s="332" t="n">
        <v>-271</v>
      </c>
      <c r="E38" s="332" t="n">
        <v>-1101</v>
      </c>
      <c r="F38" s="257" t="n"/>
      <c r="G38" s="257" t="n"/>
      <c r="H38" s="257" t="n"/>
      <c r="I38" s="257" t="n"/>
      <c r="J38" s="257" t="n"/>
      <c r="K38" s="250" t="n"/>
      <c r="L38" s="250" t="n"/>
    </row>
    <row r="39" ht="15.75" customHeight="1" s="169">
      <c r="A39" s="250" t="n"/>
      <c r="B39" s="250" t="n"/>
      <c r="C39" s="250" t="n"/>
      <c r="D39" s="250" t="n"/>
      <c r="E39" s="250" t="n"/>
      <c r="F39" s="250" t="n"/>
      <c r="G39" s="250" t="n"/>
      <c r="H39" s="250" t="n"/>
      <c r="I39" s="250" t="n"/>
      <c r="J39" s="250" t="n"/>
      <c r="K39" s="250" t="n"/>
      <c r="L39" s="250" t="n"/>
    </row>
    <row r="40" ht="15.75" customHeight="1" s="169">
      <c r="A40" s="278" t="inlineStr">
        <is>
          <t>Financing activities</t>
        </is>
      </c>
      <c r="B40" s="250" t="n"/>
      <c r="C40" s="250" t="n"/>
      <c r="D40" s="250" t="n"/>
      <c r="E40" s="250" t="n"/>
      <c r="F40" s="250" t="n"/>
      <c r="G40" s="250" t="n"/>
      <c r="H40" s="250" t="n"/>
      <c r="I40" s="250" t="n"/>
      <c r="J40" s="250" t="n"/>
      <c r="K40" s="250" t="n"/>
      <c r="L40" s="250" t="n"/>
    </row>
    <row r="41" ht="15.75" customHeight="1" s="169">
      <c r="A41" s="250" t="inlineStr">
        <is>
          <t>Proceeds from borrowings</t>
        </is>
      </c>
      <c r="B41" s="253" t="n">
        <v>1995</v>
      </c>
      <c r="C41" s="253" t="n">
        <v>818</v>
      </c>
      <c r="D41" s="253" t="n">
        <v>1084</v>
      </c>
      <c r="E41" s="253" t="n">
        <v>1058</v>
      </c>
      <c r="F41" s="254" t="n"/>
      <c r="G41" s="254" t="n"/>
      <c r="H41" s="254" t="n"/>
      <c r="I41" s="254" t="n"/>
      <c r="J41" s="254" t="n"/>
      <c r="K41" s="250" t="n"/>
      <c r="L41" s="250" t="n"/>
    </row>
    <row r="42" ht="15.75" customHeight="1" s="169">
      <c r="A42" s="250" t="inlineStr">
        <is>
          <t>Payments on borrowings</t>
        </is>
      </c>
      <c r="B42" s="253" t="n">
        <v>-2012</v>
      </c>
      <c r="C42" s="253" t="n">
        <v>-19</v>
      </c>
      <c r="D42" s="253" t="n">
        <v>-1015</v>
      </c>
      <c r="E42" s="253" t="n">
        <v>-717</v>
      </c>
      <c r="F42" s="254" t="n"/>
      <c r="G42" s="254" t="n"/>
      <c r="H42" s="254" t="n"/>
      <c r="I42" s="254" t="n"/>
      <c r="J42" s="254" t="n"/>
      <c r="K42" s="250" t="n"/>
      <c r="L42" s="250" t="n"/>
    </row>
    <row r="43" ht="15.75" customHeight="1" s="169">
      <c r="A43" s="250" t="inlineStr">
        <is>
          <t>Short-term debt, net</t>
        </is>
      </c>
      <c r="B43" s="253" t="n">
        <v>317</v>
      </c>
      <c r="C43" s="253" t="n">
        <v>-311</v>
      </c>
      <c r="D43" s="253" t="n">
        <v>-8</v>
      </c>
      <c r="E43" s="253" t="n">
        <v>1</v>
      </c>
      <c r="F43" s="254" t="n"/>
      <c r="G43" s="254" t="n"/>
      <c r="H43" s="254" t="n"/>
      <c r="I43" s="254" t="n"/>
      <c r="J43" s="254" t="n"/>
      <c r="K43" s="250" t="n"/>
      <c r="L43" s="250" t="n"/>
    </row>
    <row r="44" ht="15.75" customHeight="1" s="169">
      <c r="A44" s="250" t="inlineStr">
        <is>
          <t>Cash dividends paid</t>
        </is>
      </c>
      <c r="B44" s="253" t="n">
        <v>-1299</v>
      </c>
      <c r="C44" s="253" t="n">
        <v>-1379</v>
      </c>
      <c r="D44" s="253" t="n">
        <v>-1500</v>
      </c>
      <c r="E44" s="253" t="n">
        <v>-1626</v>
      </c>
      <c r="F44" s="254" t="n"/>
      <c r="G44" s="254" t="n"/>
      <c r="H44" s="254" t="n"/>
      <c r="I44" s="254" t="n"/>
      <c r="J44" s="254" t="n"/>
      <c r="K44" s="250" t="n"/>
      <c r="L44" s="250" t="n"/>
    </row>
    <row r="45" ht="15.75" customHeight="1" s="169">
      <c r="A45" s="250" t="inlineStr">
        <is>
          <t>Exercise of employee stock options</t>
        </is>
      </c>
      <c r="B45" s="253" t="n">
        <v>28</v>
      </c>
      <c r="C45" s="253" t="n">
        <v>78</v>
      </c>
      <c r="D45" s="253" t="n">
        <v>69</v>
      </c>
      <c r="E45" s="253" t="n">
        <v>39</v>
      </c>
      <c r="F45" s="254" t="n"/>
      <c r="G45" s="254" t="n"/>
      <c r="H45" s="254" t="n"/>
      <c r="I45" s="254" t="n"/>
      <c r="J45" s="254" t="n"/>
      <c r="K45" s="250" t="n"/>
      <c r="L45" s="250" t="n"/>
    </row>
    <row r="46" ht="15.75" customHeight="1" s="169">
      <c r="A46" s="250" t="inlineStr">
        <is>
          <t>Repurchase of shares</t>
        </is>
      </c>
      <c r="B46" s="253" t="n">
        <v>-286</v>
      </c>
      <c r="C46" s="253" t="n">
        <v>0</v>
      </c>
      <c r="D46" s="253" t="n">
        <v>-2492</v>
      </c>
      <c r="E46" s="253" t="n">
        <v>-1862</v>
      </c>
      <c r="F46" s="254" t="n"/>
      <c r="G46" s="254" t="n"/>
      <c r="H46" s="254" t="n"/>
      <c r="I46" s="254" t="n"/>
      <c r="J46" s="254" t="n"/>
      <c r="K46" s="250" t="n"/>
      <c r="L46" s="250" t="n"/>
    </row>
    <row r="47" ht="15.75" customHeight="1" s="169">
      <c r="A47" s="250" t="inlineStr">
        <is>
          <t>Employee taxes paid from shares withheld</t>
        </is>
      </c>
      <c r="B47" s="253" t="n">
        <v>-60</v>
      </c>
      <c r="C47" s="253" t="n">
        <v>-49</v>
      </c>
      <c r="D47" s="253" t="n">
        <v>-70</v>
      </c>
      <c r="E47" s="253" t="n">
        <v>-52</v>
      </c>
      <c r="F47" s="254" t="n"/>
      <c r="G47" s="254" t="n"/>
      <c r="H47" s="254" t="n"/>
      <c r="I47" s="254" t="n"/>
      <c r="J47" s="254" t="n"/>
      <c r="K47" s="250" t="n"/>
      <c r="L47" s="250" t="n"/>
    </row>
    <row r="48" ht="15.75" customHeight="1" s="169">
      <c r="A48" s="250" t="inlineStr">
        <is>
          <t>Other - net</t>
        </is>
      </c>
      <c r="B48" s="253" t="n">
        <v>-23</v>
      </c>
      <c r="C48" s="253" t="n">
        <v>-9</v>
      </c>
      <c r="D48" s="253" t="n">
        <v>-4</v>
      </c>
      <c r="E48" s="253" t="n">
        <v>-14</v>
      </c>
      <c r="F48" s="254" t="n"/>
      <c r="G48" s="254" t="n"/>
      <c r="H48" s="254" t="n"/>
      <c r="I48" s="254" t="n"/>
      <c r="J48" s="254" t="n"/>
      <c r="K48" s="250" t="n"/>
      <c r="L48" s="250" t="n"/>
    </row>
    <row r="49" ht="15.75" customHeight="1" s="169">
      <c r="A49" s="278" t="inlineStr">
        <is>
          <t>Net cash used in financing activities</t>
        </is>
      </c>
      <c r="B49" s="332" t="n">
        <v>-1340</v>
      </c>
      <c r="C49" s="332" t="n">
        <v>-871</v>
      </c>
      <c r="D49" s="332" t="n">
        <v>-3936</v>
      </c>
      <c r="E49" s="332" t="n">
        <v>-3173</v>
      </c>
      <c r="F49" s="257" t="n"/>
      <c r="G49" s="257" t="n"/>
      <c r="H49" s="257" t="n"/>
      <c r="I49" s="257" t="n"/>
      <c r="J49" s="257" t="n"/>
      <c r="K49" s="250" t="n"/>
      <c r="L49" s="250" t="n"/>
    </row>
    <row r="50" ht="15.75" customHeight="1" s="169">
      <c r="A50" s="250" t="n"/>
      <c r="B50" s="250" t="n"/>
      <c r="C50" s="250" t="n"/>
      <c r="D50" s="250" t="n"/>
      <c r="E50" s="250" t="n"/>
      <c r="F50" s="250" t="n"/>
      <c r="G50" s="250" t="n"/>
      <c r="H50" s="250" t="n"/>
      <c r="I50" s="250" t="n"/>
      <c r="J50" s="250" t="n"/>
      <c r="K50" s="250" t="n"/>
      <c r="L50" s="250" t="n"/>
    </row>
    <row r="51" ht="15.75" customHeight="1" s="169">
      <c r="A51" s="250" t="inlineStr">
        <is>
          <t>Effect of currency on cash</t>
        </is>
      </c>
      <c r="B51" s="253" t="n">
        <v>4</v>
      </c>
      <c r="C51" s="253" t="n">
        <v>16</v>
      </c>
      <c r="D51" s="253" t="n">
        <v>-52</v>
      </c>
      <c r="E51" s="253" t="n">
        <v>-131</v>
      </c>
      <c r="F51" s="254" t="n"/>
      <c r="G51" s="254" t="n"/>
      <c r="H51" s="254" t="n"/>
      <c r="I51" s="254" t="n"/>
      <c r="J51" s="254" t="n"/>
      <c r="K51" s="250" t="n"/>
      <c r="L51" s="250" t="n"/>
    </row>
    <row r="52" ht="15.75" customHeight="1" s="169">
      <c r="A52" s="278" t="inlineStr">
        <is>
          <t>Total increase (decrease) in cash</t>
        </is>
      </c>
      <c r="B52" s="332" t="n">
        <v>-3</v>
      </c>
      <c r="C52" s="332" t="n">
        <v>194</v>
      </c>
      <c r="D52" s="332" t="n">
        <v>67</v>
      </c>
      <c r="E52" s="332" t="n">
        <v>67</v>
      </c>
      <c r="F52" s="257" t="n"/>
      <c r="G52" s="257" t="n"/>
      <c r="H52" s="257" t="n"/>
      <c r="I52" s="257" t="n"/>
      <c r="J52" s="257" t="n"/>
      <c r="K52" s="250" t="n"/>
      <c r="L52" s="250" t="n"/>
    </row>
    <row r="53" ht="15.75" customHeight="1" s="169">
      <c r="A53" s="250" t="inlineStr">
        <is>
          <t>Cash at the beginning of the period</t>
        </is>
      </c>
      <c r="B53" s="253" t="n">
        <v>297</v>
      </c>
      <c r="C53" s="253" t="n">
        <v>294</v>
      </c>
      <c r="D53" s="253" t="n">
        <v>488</v>
      </c>
      <c r="E53" s="253" t="n">
        <v>555</v>
      </c>
      <c r="F53" s="254" t="n"/>
      <c r="G53" s="254" t="n"/>
      <c r="H53" s="254" t="n"/>
      <c r="I53" s="254" t="n"/>
      <c r="J53" s="254" t="n"/>
      <c r="K53" s="250" t="n"/>
      <c r="L53" s="250" t="n"/>
    </row>
    <row r="54" ht="15.75" customHeight="1" s="169">
      <c r="A54" s="278" t="inlineStr">
        <is>
          <t>Cash at the end of the period</t>
        </is>
      </c>
      <c r="B54" s="332" t="n">
        <v>294</v>
      </c>
      <c r="C54" s="332" t="n">
        <v>488</v>
      </c>
      <c r="D54" s="332" t="n">
        <v>555</v>
      </c>
      <c r="E54" s="332" t="n">
        <v>622</v>
      </c>
      <c r="F54" s="257" t="n"/>
      <c r="G54" s="257" t="n"/>
      <c r="H54" s="257" t="n"/>
      <c r="I54" s="257" t="n"/>
      <c r="J54" s="257" t="n"/>
      <c r="K54" s="250" t="n"/>
      <c r="L54" s="250" t="n"/>
    </row>
    <row r="55" ht="15.75" customHeight="1" s="169">
      <c r="A55" s="250" t="n"/>
      <c r="B55" s="250" t="n"/>
      <c r="C55" s="250" t="n"/>
      <c r="D55" s="250" t="n"/>
      <c r="E55" s="250" t="n"/>
      <c r="F55" s="250" t="n"/>
      <c r="G55" s="250" t="n"/>
      <c r="H55" s="250" t="n"/>
      <c r="I55" s="250" t="n"/>
      <c r="J55" s="250" t="n"/>
      <c r="K55" s="250" t="n"/>
      <c r="L55" s="250" t="n"/>
    </row>
    <row r="56" ht="15.75" customHeight="1" s="169">
      <c r="A56" s="278" t="inlineStr">
        <is>
          <t>Free cash flow</t>
        </is>
      </c>
      <c r="B56" s="250" t="n"/>
      <c r="C56" s="250" t="n"/>
      <c r="D56" s="250" t="n"/>
      <c r="E56" s="250" t="n"/>
      <c r="F56" s="250" t="n"/>
      <c r="G56" s="250" t="n"/>
      <c r="H56" s="250" t="n"/>
      <c r="I56" s="250" t="n"/>
      <c r="J56" s="250" t="n"/>
      <c r="K56" s="250" t="n"/>
      <c r="L56" s="250" t="n"/>
    </row>
    <row r="57" ht="15.75" customHeight="1" s="169">
      <c r="A57" s="278" t="inlineStr">
        <is>
          <t>Free cash flow (CFO - capex)</t>
        </is>
      </c>
      <c r="B57" s="333">
        <f>B26+B29</f>
        <v/>
      </c>
      <c r="C57" s="333">
        <f>C26+C29</f>
        <v/>
      </c>
      <c r="D57" s="333">
        <f>D26+D29</f>
        <v/>
      </c>
      <c r="E57" s="333">
        <f>E26+E29</f>
        <v/>
      </c>
      <c r="F57" s="254" t="n"/>
      <c r="G57" s="254" t="n"/>
      <c r="H57" s="254" t="n"/>
      <c r="I57" s="254" t="n"/>
      <c r="J57" s="254" t="n"/>
      <c r="K57" s="250" t="n"/>
      <c r="L57" s="250" t="n"/>
    </row>
    <row r="58" ht="15.75" customHeight="1" s="169">
      <c r="A58" s="250" t="inlineStr">
        <is>
          <t xml:space="preserve">  FCF margin</t>
        </is>
      </c>
      <c r="B58" s="255">
        <f>IF('Income Statement'!B8=0,0,B57/'Income Statement'!B8)</f>
        <v/>
      </c>
      <c r="C58" s="255">
        <f>IF('Income Statement'!C8=0,0,C57/'Income Statement'!C8)</f>
        <v/>
      </c>
      <c r="D58" s="255">
        <f>IF('Income Statement'!D8=0,0,D57/'Income Statement'!D8)</f>
        <v/>
      </c>
      <c r="E58" s="255">
        <f>IF('Income Statement'!E8=0,0,E57/'Income Statement'!E8)</f>
        <v/>
      </c>
      <c r="F58" s="255" t="n"/>
      <c r="G58" s="255" t="n"/>
      <c r="H58" s="255" t="n"/>
      <c r="I58" s="255" t="n"/>
      <c r="J58" s="255" t="n"/>
      <c r="K58" s="250" t="n"/>
      <c r="L58" s="250" t="n"/>
    </row>
    <row r="59" ht="15.75" customHeight="1" s="169">
      <c r="A59" s="250" t="inlineStr">
        <is>
          <t xml:space="preserve">  Capex as % of net sales</t>
        </is>
      </c>
      <c r="B59" s="255">
        <f>IF('Income Statement'!B8=0,0,-B29/'Income Statement'!B8)</f>
        <v/>
      </c>
      <c r="C59" s="255">
        <f>IF('Income Statement'!C8=0,0,-C29/'Income Statement'!C8)</f>
        <v/>
      </c>
      <c r="D59" s="255">
        <f>IF('Income Statement'!D8=0,0,-D29/'Income Statement'!D8)</f>
        <v/>
      </c>
      <c r="E59" s="255">
        <f>IF('Income Statement'!E8=0,0,-E29/'Income Statement'!E8)</f>
        <v/>
      </c>
      <c r="F59" s="255" t="n"/>
      <c r="G59" s="255" t="n"/>
      <c r="H59" s="255" t="n"/>
      <c r="I59" s="255" t="n"/>
      <c r="J59" s="255" t="n"/>
      <c r="K59" s="250" t="n"/>
      <c r="L59" s="250" t="n"/>
    </row>
    <row r="60" ht="15.75" customHeight="1" s="169">
      <c r="A60" s="250" t="inlineStr">
        <is>
          <t xml:space="preserve">  D&amp;A as % of net sales</t>
        </is>
      </c>
      <c r="B60" s="255">
        <f>IF('Income Statement'!B8=0,0,B10/'Income Statement'!B8)</f>
        <v/>
      </c>
      <c r="C60" s="255">
        <f>IF('Income Statement'!C8=0,0,C10/'Income Statement'!C8)</f>
        <v/>
      </c>
      <c r="D60" s="255">
        <f>IF('Income Statement'!D8=0,0,D10/'Income Statement'!D8)</f>
        <v/>
      </c>
      <c r="E60" s="255">
        <f>IF('Income Statement'!E8=0,0,E10/'Income Statement'!E8)</f>
        <v/>
      </c>
      <c r="F60" s="255" t="n"/>
      <c r="G60" s="255" t="n"/>
      <c r="H60" s="255" t="n"/>
      <c r="I60" s="255" t="n"/>
      <c r="J60" s="255" t="n"/>
      <c r="K60" s="250" t="n"/>
      <c r="L60" s="250" t="n"/>
    </row>
    <row r="61" ht="15.75" customHeight="1" s="169">
      <c r="A61" s="250" t="n"/>
      <c r="B61" s="250" t="n"/>
      <c r="C61" s="250" t="n"/>
      <c r="D61" s="250" t="n"/>
      <c r="E61" s="250" t="n"/>
      <c r="F61" s="250" t="n"/>
      <c r="G61" s="250" t="n"/>
      <c r="H61" s="250" t="n"/>
      <c r="I61" s="250" t="n"/>
      <c r="J61" s="250" t="n"/>
      <c r="K61" s="250" t="n"/>
      <c r="L61" s="250" t="n"/>
    </row>
    <row r="62" ht="15.75" customHeight="1" s="169">
      <c r="A62" s="250" t="n"/>
      <c r="B62" s="250" t="n"/>
      <c r="C62" s="250" t="n"/>
      <c r="D62" s="250" t="n"/>
      <c r="E62" s="250" t="n"/>
      <c r="F62" s="250" t="n"/>
      <c r="G62" s="250" t="n"/>
      <c r="H62" s="250" t="n"/>
      <c r="I62" s="250" t="n"/>
      <c r="J62" s="250" t="n"/>
      <c r="K62" s="250" t="n"/>
      <c r="L62" s="250" t="n"/>
    </row>
    <row r="63" ht="15.75" customHeight="1" s="169">
      <c r="A63" s="264" t="n"/>
      <c r="B63" s="254" t="n"/>
      <c r="C63" s="254" t="n"/>
      <c r="D63" s="254" t="n"/>
      <c r="E63" s="254" t="n"/>
      <c r="F63" s="254" t="n"/>
      <c r="G63" s="254" t="n"/>
      <c r="H63" s="254" t="n"/>
      <c r="I63" s="254" t="n"/>
      <c r="J63" s="254" t="n"/>
      <c r="K63" s="250" t="n"/>
      <c r="L63" s="250" t="n"/>
    </row>
    <row r="64" ht="15.75" customHeight="1" s="169">
      <c r="A64" s="264" t="n"/>
      <c r="B64" s="254" t="n"/>
      <c r="C64" s="254" t="n"/>
      <c r="D64" s="254" t="n"/>
      <c r="E64" s="254" t="n"/>
      <c r="F64" s="254" t="n"/>
      <c r="G64" s="254" t="n"/>
      <c r="H64" s="254" t="n"/>
      <c r="I64" s="254" t="n"/>
      <c r="J64" s="254" t="n"/>
      <c r="K64" s="250" t="n"/>
      <c r="L64" s="250" t="n"/>
    </row>
    <row r="65" ht="15.75" customHeight="1" s="169">
      <c r="A65" s="264" t="n"/>
      <c r="B65" s="254" t="n"/>
      <c r="C65" s="254" t="n"/>
      <c r="D65" s="254" t="n"/>
      <c r="E65" s="254" t="n"/>
      <c r="F65" s="254" t="n"/>
      <c r="G65" s="254" t="n"/>
      <c r="H65" s="254" t="n"/>
      <c r="I65" s="254" t="n"/>
      <c r="J65" s="254" t="n"/>
      <c r="K65" s="250" t="n"/>
      <c r="L65" s="250" t="n"/>
    </row>
    <row r="66" ht="15.75" customHeight="1" s="169">
      <c r="A66" s="264" t="n"/>
      <c r="B66" s="254" t="n"/>
      <c r="C66" s="254" t="n"/>
      <c r="D66" s="254" t="n"/>
      <c r="E66" s="254" t="n"/>
      <c r="F66" s="254" t="n"/>
      <c r="G66" s="254" t="n"/>
      <c r="H66" s="254" t="n"/>
      <c r="I66" s="254" t="n"/>
      <c r="J66" s="254" t="n"/>
      <c r="K66" s="250" t="n"/>
      <c r="L66" s="250" t="n"/>
    </row>
    <row r="67" ht="15.75" customHeight="1" s="169">
      <c r="A67" s="250" t="n"/>
      <c r="B67" s="250" t="n"/>
      <c r="C67" s="250" t="n"/>
      <c r="D67" s="250" t="n"/>
      <c r="E67" s="250" t="n"/>
      <c r="F67" s="250" t="n"/>
      <c r="G67" s="250" t="n"/>
      <c r="H67" s="250" t="n"/>
      <c r="I67" s="250" t="n"/>
      <c r="J67" s="250" t="n"/>
      <c r="K67" s="250" t="n"/>
      <c r="L67" s="250" t="n"/>
    </row>
    <row r="68" ht="15.75" customHeight="1" s="169">
      <c r="A68" s="250" t="n"/>
      <c r="B68" s="250" t="n"/>
      <c r="C68" s="250" t="n"/>
      <c r="D68" s="250" t="n"/>
      <c r="E68" s="250" t="n"/>
      <c r="F68" s="250" t="n"/>
      <c r="G68" s="250" t="n"/>
      <c r="H68" s="250" t="n"/>
      <c r="I68" s="250" t="n"/>
      <c r="J68" s="250" t="n"/>
      <c r="K68" s="250" t="n"/>
      <c r="L68" s="250" t="n"/>
    </row>
    <row r="69" ht="15.75" customHeight="1" s="169">
      <c r="A69" s="250" t="n"/>
      <c r="B69" s="250" t="n"/>
      <c r="C69" s="250" t="n"/>
      <c r="D69" s="250" t="n"/>
      <c r="E69" s="250" t="n"/>
      <c r="F69" s="250" t="n"/>
      <c r="G69" s="250" t="n"/>
      <c r="H69" s="250" t="n"/>
      <c r="I69" s="250" t="n"/>
      <c r="J69" s="250" t="n"/>
      <c r="K69" s="250" t="n"/>
      <c r="L69" s="250" t="n"/>
    </row>
    <row r="70" ht="15.75" customHeight="1" s="169">
      <c r="A70" s="250" t="n"/>
      <c r="B70" s="250" t="n"/>
      <c r="C70" s="250" t="n"/>
      <c r="D70" s="250" t="n"/>
      <c r="E70" s="250" t="n"/>
      <c r="F70" s="250" t="n"/>
      <c r="G70" s="250" t="n"/>
      <c r="H70" s="250" t="n"/>
      <c r="I70" s="250" t="n"/>
      <c r="J70" s="250" t="n"/>
      <c r="K70" s="250" t="n"/>
      <c r="L70" s="250" t="n"/>
    </row>
    <row r="71" ht="15.75" customHeight="1" s="169">
      <c r="A71" s="250" t="n"/>
      <c r="B71" s="250" t="n"/>
      <c r="C71" s="250" t="n"/>
      <c r="D71" s="250" t="n"/>
      <c r="E71" s="250" t="n"/>
      <c r="F71" s="250" t="n"/>
      <c r="G71" s="250" t="n"/>
      <c r="H71" s="250" t="n"/>
      <c r="I71" s="250" t="n"/>
      <c r="J71" s="250" t="n"/>
      <c r="K71" s="250" t="n"/>
      <c r="L71" s="25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Rowan Das</dc:creator>
  <dc:language xmlns:dc="http://purl.org/dc/elements/1.1/">en-US</dc:language>
  <dcterms:created xmlns:dcterms="http://purl.org/dc/terms/" xmlns:xsi="http://www.w3.org/2001/XMLSchema-instance" xsi:type="dcterms:W3CDTF">2026-10-13T16:05:38Z</dcterms:created>
  <dcterms:modified xmlns:dcterms="http://purl.org/dc/terms/" xmlns:xsi="http://www.w3.org/2001/XMLSchema-instance" xsi:type="dcterms:W3CDTF">2026-10-15T03:47:07Z</dcterms:modified>
  <cp:lastModifiedBy>Rowan Das</cp:lastModifiedBy>
  <cp:revision>0</cp:revision>
</cp:coreProperties>
</file>