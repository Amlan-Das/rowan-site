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V Quarterly" sheetId="1" state="visible" r:id="rId3"/>
    <sheet name="Sheet1" sheetId="2" state="visible" r:id="rId4"/>
    <sheet name="Revenue" sheetId="3" state="visible" r:id="rId5"/>
    <sheet name="Key Drivers" sheetId="4" state="visible" r:id="rId6"/>
    <sheet name="Regular DCF" sheetId="5" state="visible" r:id="rId7"/>
    <sheet name="Reverse DCF" sheetId="6" state="visible" r:id="rId8"/>
    <sheet name="Consensus DCF" sheetId="7" state="visible" r:id="rId9"/>
    <sheet name="WACC Calculation" sheetId="8" state="visible" r:id="rId10"/>
  </sheets>
  <definedNames>
    <definedName function="false" hidden="false" localSheetId="1" name="_xlnm.Print_Area" vbProcedure="false">Sheet1!$A$1:$N$153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110" authorId="0">
      <text>
        <r>
          <rPr>
            <sz val="10"/>
            <rFont val="Arial"/>
            <family val="2"/>
          </rPr>
          <t xml:space="preserve">Power RPO fell about $3.9bn in Q2'24 on the sale of part of the Steam Power nuclear activities to EDF. That is a disposal, not lost demand, so implied orders are understated this quarter. Source: 'GEV Quarterly' note 6.</t>
        </r>
      </text>
    </comment>
    <comment ref="D118" authorId="0">
      <text>
        <r>
          <rPr>
            <sz val="10"/>
            <rFont val="Arial"/>
            <family val="2"/>
          </rPr>
          <t xml:space="preserve">Power RPO fell about $3.9bn in Q2'24 on the sale of part of the Steam Power nuclear activities to EDF. That is a disposal, not lost demand, so implied orders are understated this quarter. Source: 'GEV Quarterly' note 6.</t>
        </r>
      </text>
    </comment>
    <comment ref="K35" authorId="0">
      <text>
        <r>
          <rPr>
            <sz val="10"/>
            <rFont val="Arial"/>
            <family val="2"/>
          </rPr>
          <t xml:space="preserve">Restates Dec-25 RPO from the legacy segment structure to the current structure (Q1'26 recast). Equals current-structure less legacy Dec-25 RPO on the 'GEV Quarterly' tab.</t>
        </r>
      </text>
    </comment>
    <comment ref="K43" authorId="0">
      <text>
        <r>
          <rPr>
            <sz val="10"/>
            <rFont val="Arial"/>
            <family val="2"/>
          </rPr>
          <t xml:space="preserve">Restates Dec-25 RPO from the legacy segment structure to the current structure (Q1'26 recast). Equals current-structure less legacy Dec-25 RPO on the 'GEV Quarterly' tab.</t>
        </r>
      </text>
    </comment>
    <comment ref="K51" authorId="0">
      <text>
        <r>
          <rPr>
            <sz val="10"/>
            <rFont val="Arial"/>
            <family val="2"/>
          </rPr>
          <t xml:space="preserve">Restates Dec-25 RPO from the legacy segment structure to the current structure (Q1'26 recast). Equals current-structure less legacy Dec-25 RPO on the 'GEV Quarterly' tab.</t>
        </r>
      </text>
    </comment>
    <comment ref="K72" authorId="0">
      <text>
        <r>
          <rPr>
            <sz val="10"/>
            <rFont val="Arial"/>
            <family val="2"/>
          </rPr>
          <t xml:space="preserve">Restates Dec-25 RPO from the legacy segment structure to the current structure (Q1'26 recast). Equals current-structure less legacy Dec-25 RPO on the 'GEV Quarterly' tab.</t>
        </r>
      </text>
    </comment>
    <comment ref="K73" authorId="0">
      <text>
        <r>
          <rPr>
            <sz val="10"/>
            <rFont val="Arial"/>
            <family val="2"/>
          </rPr>
          <t xml:space="preserve">Includes acquired Prolec GE backlog (consolidated from Q1'26, about $5bn per the Q1'26 earnings release). This is not a customer order, so do not use this quarter to set order growth. Source: 'GEV Quarterly' note 6.</t>
        </r>
      </text>
    </comment>
    <comment ref="K80" authorId="0">
      <text>
        <r>
          <rPr>
            <sz val="10"/>
            <rFont val="Arial"/>
            <family val="2"/>
          </rPr>
          <t xml:space="preserve">Restates Dec-25 RPO from the legacy segment structure to the current structure (Q1'26 recast). Equals current-structure less legacy Dec-25 RPO on the 'GEV Quarterly' tab.</t>
        </r>
      </text>
    </comment>
    <comment ref="K81" authorId="0">
      <text>
        <r>
          <rPr>
            <sz val="10"/>
            <rFont val="Arial"/>
            <family val="2"/>
          </rPr>
          <t xml:space="preserve">Includes acquired Prolec GE backlog (consolidated from Q1'26, about $5bn per the Q1'26 earnings release). This is not a customer order, so do not use this quarter to set order growth. Source: 'GEV Quarterly' note 6.</t>
        </r>
      </text>
    </comment>
    <comment ref="K88" authorId="0">
      <text>
        <r>
          <rPr>
            <sz val="10"/>
            <rFont val="Arial"/>
            <family val="2"/>
          </rPr>
          <t xml:space="preserve">Restates Dec-25 RPO from the legacy segment structure to the current structure (Q1'26 recast). Equals current-structure less legacy Dec-25 RPO on the 'GEV Quarterly' tab.</t>
        </r>
      </text>
    </comment>
    <comment ref="K109" authorId="0">
      <text>
        <r>
          <rPr>
            <sz val="10"/>
            <rFont val="Arial"/>
            <family val="2"/>
          </rPr>
          <t xml:space="preserve">Restates Dec-25 RPO from the legacy segment structure to the current structure (Q1'26 recast). Equals current-structure less legacy Dec-25 RPO on the 'GEV Quarterly' tab.</t>
        </r>
      </text>
    </comment>
    <comment ref="K117" authorId="0">
      <text>
        <r>
          <rPr>
            <sz val="10"/>
            <rFont val="Arial"/>
            <family val="2"/>
          </rPr>
          <t xml:space="preserve">Restates Dec-25 RPO from the legacy segment structure to the current structure (Q1'26 recast). Equals current-structure less legacy Dec-25 RPO on the 'GEV Quarterly' tab.</t>
        </r>
      </text>
    </comment>
    <comment ref="K125" authorId="0">
      <text>
        <r>
          <rPr>
            <sz val="10"/>
            <rFont val="Arial"/>
            <family val="2"/>
          </rPr>
          <t xml:space="preserve">Restates Dec-25 RPO from the legacy segment structure to the current structure (Q1'26 recast). Equals current-structure less legacy Dec-25 RPO on the 'GEV Quarterly' tab.</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3" authorId="0">
      <text>
        <r>
          <rPr>
            <sz val="10"/>
            <rFont val="Arial"/>
            <family val="2"/>
          </rPr>
          <t xml:space="preserve">Backlog conversion, orders linked to data-centre capex</t>
        </r>
      </text>
    </comment>
    <comment ref="E32" authorId="0">
      <text>
        <r>
          <rPr>
            <sz val="10"/>
            <rFont val="Arial"/>
            <family val="2"/>
          </rPr>
          <t xml:space="preserve">Calendar-year capex incl. finance leases; FY26E per Jul-26 guidance</t>
        </r>
      </text>
    </comment>
    <comment ref="E33" authorId="0">
      <text>
        <r>
          <rPr>
            <sz val="10"/>
            <rFont val="Arial"/>
            <family val="2"/>
          </rPr>
          <t xml:space="preserve">Annual driver. Orders are phased by quarter below</t>
        </r>
      </text>
    </comment>
    <comment ref="E46" authorId="0">
      <text>
        <r>
          <rPr>
            <sz val="10"/>
            <rFont val="Arial"/>
            <family val="2"/>
          </rPr>
          <t xml:space="preserve">Q1-Q2'26 derived: closing - opening + converted</t>
        </r>
      </text>
    </comment>
    <comment ref="E49" authorId="0">
      <text>
        <r>
          <rPr>
            <sz val="10"/>
            <rFont val="Arial"/>
            <family val="2"/>
          </rPr>
          <t xml:space="preserve">Dec-25 43 GW; Mar-26 56; Jun-26 63 (company releases)</t>
        </r>
      </text>
    </comment>
    <comment ref="E56" authorId="0">
      <text>
        <r>
          <rPr>
            <sz val="10"/>
            <rFont val="Arial"/>
            <family val="2"/>
          </rPr>
          <t xml:space="preserve">Actuals: reconciling item (rounding in company figures)</t>
        </r>
      </text>
    </comment>
    <comment ref="E57" authorId="0">
      <text>
        <r>
          <rPr>
            <sz val="10"/>
            <rFont val="Arial"/>
            <family val="2"/>
          </rPr>
          <t xml:space="preserve">Actuals: row 262. Forecast = MIN(capacity x shipment %, backlog)</t>
        </r>
      </text>
    </comment>
    <comment ref="E58" authorId="0">
      <text>
        <r>
          <rPr>
            <sz val="10"/>
            <rFont val="Arial"/>
            <family val="2"/>
          </rPr>
          <t xml:space="preserve">Dec-25 40 GW; Mar-26 44; Jun-26 53 (company releases)</t>
        </r>
      </text>
    </comment>
    <comment ref="E67" authorId="0">
      <text>
        <r>
          <rPr>
            <sz val="10"/>
            <rFont val="Arial"/>
            <family val="2"/>
          </rPr>
          <t xml:space="preserve">Includes small nuclear, hydro, steam equipment. Quarterly actuals are noisy</t>
        </r>
      </text>
    </comment>
    <comment ref="E73" authorId="0">
      <text>
        <r>
          <rPr>
            <sz val="10"/>
            <rFont val="Arial"/>
            <family val="2"/>
          </rPr>
          <t xml:space="preserve">Current-structure Power revenue less equipment</t>
        </r>
      </text>
    </comment>
    <comment ref="E80" authorId="0">
      <text>
        <r>
          <rPr>
            <sz val="10"/>
            <rFont val="Arial"/>
            <family val="2"/>
          </rPr>
          <t xml:space="preserve">Quarters add up to this; H2 = target less H1 actual</t>
        </r>
      </text>
    </comment>
    <comment ref="E81" authorId="0">
      <text>
        <r>
          <rPr>
            <sz val="10"/>
            <rFont val="Arial"/>
            <family val="2"/>
          </rPr>
          <t xml:space="preserve">FY25 = implied orders less data-centre estimate</t>
        </r>
      </text>
    </comment>
    <comment ref="E82" authorId="0">
      <text>
        <r>
          <rPr>
            <sz val="10"/>
            <rFont val="Arial"/>
            <family val="2"/>
          </rPr>
          <t xml:space="preserve">FY25 est &lt;$2.5B; H1'26 &gt;$5B (mgmt). Quarterly = target x phasing</t>
        </r>
      </text>
    </comment>
    <comment ref="E84" authorId="0">
      <text>
        <r>
          <rPr>
            <sz val="10"/>
            <rFont val="Arial"/>
            <family val="2"/>
          </rPr>
          <t xml:space="preserve">Actuals: change in equipment RPO + revenue - acquired</t>
        </r>
      </text>
    </comment>
    <comment ref="E91" authorId="0">
      <text>
        <r>
          <rPr>
            <sz val="10"/>
            <rFont val="Arial"/>
            <family val="2"/>
          </rPr>
          <t xml:space="preserve">Forecast = % of opening backlog + % of in-quarter orders</t>
        </r>
      </text>
    </comment>
    <comment ref="E92" authorId="0">
      <text>
        <r>
          <rPr>
            <sz val="10"/>
            <rFont val="Arial"/>
            <family val="2"/>
          </rPr>
          <t xml:space="preserve">Through Q4'25 on legacy basis, Q1'26 onward current</t>
        </r>
      </text>
    </comment>
    <comment ref="E93" authorId="0">
      <text>
        <r>
          <rPr>
            <sz val="10"/>
            <rFont val="Arial"/>
            <family val="2"/>
          </rPr>
          <t xml:space="preserve">Quarterly columns: per quarter. Annual: per year</t>
        </r>
      </text>
    </comment>
    <comment ref="E98" authorId="0">
      <text>
        <r>
          <rPr>
            <sz val="10"/>
            <rFont val="Arial"/>
            <family val="2"/>
          </rPr>
          <t xml:space="preserve">Current-structure segment revenue less equipment</t>
        </r>
      </text>
    </comment>
    <comment ref="E102" authorId="0">
      <text>
        <r>
          <rPr>
            <sz val="10"/>
            <rFont val="Arial"/>
            <family val="2"/>
          </rPr>
          <t xml:space="preserve">Actuals: row 271. Quarterly = annual driver x phasing</t>
        </r>
      </text>
    </comment>
    <comment ref="E119" authorId="0">
      <text>
        <r>
          <rPr>
            <sz val="10"/>
            <rFont val="Arial"/>
            <family val="2"/>
          </rPr>
          <t xml:space="preserve">Oldest reservations convert first; lapses hit the newest</t>
        </r>
      </text>
    </comment>
    <comment ref="E132" authorId="0">
      <text>
        <r>
          <rPr>
            <sz val="10"/>
            <rFont val="Arial"/>
            <family val="2"/>
          </rPr>
          <t xml:space="preserve">H1'26 actual revenue is all attributed to the Dec-25 backlog</t>
        </r>
      </text>
    </comment>
    <comment ref="E141" authorId="0">
      <text>
        <r>
          <rPr>
            <sz val="10"/>
            <rFont val="Arial"/>
            <family val="2"/>
          </rPr>
          <t xml:space="preserve">Outside RPO today; deposits paid, orders not firm</t>
        </r>
      </text>
    </comment>
    <comment ref="F32" authorId="0">
      <text>
        <r>
          <rPr>
            <sz val="10"/>
            <rFont val="Arial"/>
            <family val="2"/>
          </rPr>
          <t xml:space="preserve">Calendar-year capex. FY24A/FY25A: Visual Capitalist table of company filings (big four, ex-Oracle). FY26E: midpoint of guidance after Jul-26 earnings as compiled by Yield Theory (updated 30-Sep-26), a secondary source. Microsoft is on a different definition across sources (guidance ~$175B here versus ~$190B in an April compilation), so treat the total as +/-5%.</t>
        </r>
      </text>
    </comment>
    <comment ref="G82" authorId="0">
      <text>
        <r>
          <rPr>
            <sz val="10"/>
            <rFont val="Arial"/>
            <family val="2"/>
          </rPr>
          <t xml:space="preserve">Estimate. Management said H1'26 data-centre orders (&gt;$5B) are 'more than double our 2025 total', so FY25 is below about $2.5B. Replace with the reported figure when you have the Q4'25 deck.</t>
        </r>
      </text>
    </comment>
    <comment ref="H157" authorId="0">
      <text>
        <r>
          <rPr>
            <sz val="10"/>
            <rFont val="Arial"/>
            <family val="2"/>
          </rPr>
          <t xml:space="preserve">Company FY26 revenue guidance $45.5-$46.5B (raised at Q2'26, Jul-22-26; was $44.5-$45.5B; initial Jan-26 guide $44-$45B).</t>
        </r>
      </text>
    </comment>
    <comment ref="H160" authorId="0">
      <text>
        <r>
          <rPr>
            <sz val="10"/>
            <rFont val="Arial"/>
            <family val="2"/>
          </rPr>
          <t xml:space="preserve">Company: Electrification revenue $14.5-$15.0B (raised from $14.0-$14.5B at Q2'26).</t>
        </r>
      </text>
    </comment>
    <comment ref="H163" authorId="0">
      <text>
        <r>
          <rPr>
            <sz val="10"/>
            <rFont val="Arial"/>
            <family val="2"/>
          </rPr>
          <t xml:space="preserve">Company: Power organic revenue growth 18-20% for 2026 (raised from 16-18% at Q2'26).</t>
        </r>
      </text>
    </comment>
    <comment ref="H166" authorId="0">
      <text>
        <r>
          <rPr>
            <sz val="10"/>
            <rFont val="Arial"/>
            <family val="2"/>
          </rPr>
          <t xml:space="preserve">Company: Q3'26 Power revenue growth of 17-19% (2Q'26 call).</t>
        </r>
      </text>
    </comment>
    <comment ref="H169" authorId="0">
      <text>
        <r>
          <rPr>
            <sz val="10"/>
            <rFont val="Arial"/>
            <family val="2"/>
          </rPr>
          <t xml:space="preserve">Company: Wind organic revenue 'down low double digits' for 2026. -15% to -10% is this model's reading of that phrase.</t>
        </r>
      </text>
    </comment>
    <comment ref="H172" authorId="0">
      <text>
        <r>
          <rPr>
            <sz val="10"/>
            <rFont val="Arial"/>
            <family val="2"/>
          </rPr>
          <t xml:space="preserve">Company: at least 125 GW of gas backlog plus slot reservations by year-end 2026 (2Q'26 release). Analysts expect 130-140 GW.</t>
        </r>
      </text>
    </comment>
    <comment ref="U49" authorId="0">
      <text>
        <r>
          <rPr>
            <sz val="10"/>
            <rFont val="Arial"/>
            <family val="2"/>
          </rPr>
          <t xml:space="preserve">Company: 43 GW of slot reservation agreements at Dec 31, 2025 (4Q'25 earnings release; backlog 40 GW).</t>
        </r>
      </text>
    </comment>
    <comment ref="U58" authorId="0">
      <text>
        <r>
          <rPr>
            <sz val="10"/>
            <rFont val="Arial"/>
            <family val="2"/>
          </rPr>
          <t xml:space="preserve">Company: gas power backlog 40 GW at Dec 31, 2025 (4Q'25 earnings release).</t>
        </r>
      </text>
    </comment>
    <comment ref="V49" authorId="0">
      <text>
        <r>
          <rPr>
            <sz val="10"/>
            <rFont val="Arial"/>
            <family val="2"/>
          </rPr>
          <t xml:space="preserve">Company: SRAs of 56 GW at Mar 31, 2026 (stated in the 2Q'26 release as the starting point for Q2).</t>
        </r>
      </text>
    </comment>
    <comment ref="V54" authorId="0">
      <text>
        <r>
          <rPr>
            <sz val="10"/>
            <rFont val="Arial"/>
            <family val="2"/>
          </rPr>
          <t xml:space="preserve">Estimate. Q2'26 direct orders were 2 GW (20 GW signed = 18 GW SRAs + 2 GW orders); Q1 is assumed the same.</t>
        </r>
      </text>
    </comment>
    <comment ref="V58" authorId="0">
      <text>
        <r>
          <rPr>
            <sz val="10"/>
            <rFont val="Arial"/>
            <family val="2"/>
          </rPr>
          <t xml:space="preserve">Company: backlog 44 GW at Mar 31, 2026 (2Q'26 release: 'from 44 GW to 53 GW').</t>
        </r>
      </text>
    </comment>
    <comment ref="V82" authorId="0">
      <text>
        <r>
          <rPr>
            <sz val="10"/>
            <rFont val="Arial"/>
            <family val="2"/>
          </rPr>
          <t xml:space="preserve">Estimate of the Q1'26 split. Company: data-centre orders 'over $5 billion' year to date at Q2'26, of which Q2 was $2.7B.</t>
        </r>
      </text>
    </comment>
    <comment ref="V89" authorId="0">
      <text>
        <r>
          <rPr>
            <sz val="10"/>
            <rFont val="Arial"/>
            <family val="2"/>
          </rPr>
          <t xml:space="preserve">Company: Electrification equipment backlog of $40.6B at Jun-26 'including $5B from Prolec GE' (2Q'26 release). Prolec consolidated from Q1'26.</t>
        </r>
      </text>
    </comment>
    <comment ref="W49" authorId="0">
      <text>
        <r>
          <rPr>
            <sz val="10"/>
            <rFont val="Arial"/>
            <family val="2"/>
          </rPr>
          <t xml:space="preserve">Company: SRAs rose from 56 GW to 63 GW in Q2'26 (2Q'26 earnings release).</t>
        </r>
      </text>
    </comment>
    <comment ref="W54" authorId="0">
      <text>
        <r>
          <rPr>
            <sz val="10"/>
            <rFont val="Arial"/>
            <family val="2"/>
          </rPr>
          <t xml:space="preserve">Company: Q2'26 new contracts of 20 GW = 18 GW slot reservations + 2 GW orders; 10 GW converted from existing SRAs.</t>
        </r>
      </text>
    </comment>
    <comment ref="W58" authorId="0">
      <text>
        <r>
          <rPr>
            <sz val="10"/>
            <rFont val="Arial"/>
            <family val="2"/>
          </rPr>
          <t xml:space="preserve">Company: backlog rose from 44 GW to 53 GW in Q2'26. Check: 44 + 12.1 orders - 3.3 shipments = 52.8.</t>
        </r>
      </text>
    </comment>
    <comment ref="W82" authorId="0">
      <text>
        <r>
          <rPr>
            <sz val="10"/>
            <rFont val="Arial"/>
            <family val="2"/>
          </rPr>
          <t xml:space="preserve">Company: $2.7B of data-centre orders booked in Q2'26.</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66" authorId="0">
      <text>
        <r>
          <rPr>
            <sz val="10"/>
            <rFont val="Arial"/>
            <family val="2"/>
          </rPr>
          <t xml:space="preserve">Compares live FY2028E revenue and the Regular DCF 6-month value with the stored snapshot for the selected scenario.</t>
        </r>
      </text>
    </comment>
    <comment ref="E11" authorId="0">
      <text>
        <r>
          <rPr>
            <sz val="10"/>
            <rFont val="Arial"/>
            <family val="2"/>
          </rPr>
          <t xml:space="preserve">FY26E is guidance ($732.5B). Street ~$1T in 2027. Bear = build-out stalls. Annual driver.</t>
        </r>
      </text>
    </comment>
    <comment ref="E16" authorId="0">
      <text>
        <r>
          <rPr>
            <sz val="10"/>
            <rFont val="Arial"/>
            <family val="2"/>
          </rPr>
          <t xml:space="preserve">H1'26 data-centre orders &gt;$5B on ~$733B of capex. FY25 ~0.6%. Annual rate; orders are phased by quarter below.</t>
        </r>
      </text>
    </comment>
    <comment ref="E21" authorId="0">
      <text>
        <r>
          <rPr>
            <sz val="10"/>
            <rFont val="Arial"/>
            <family val="2"/>
          </rPr>
          <t xml:space="preserve">Grid, power conversion, other. H1'26 ran below H1'25. FY26E covers the full year; H2 is the balance after H1 actual.</t>
        </r>
      </text>
    </comment>
    <comment ref="E26" authorId="0">
      <text>
        <r>
          <rPr>
            <sz val="10"/>
            <rFont val="Arial"/>
            <family val="2"/>
          </rPr>
          <t xml:space="preserve">Per quarter, on opening backlog; excludes orders that ship in the quarter they are booked. Falls as backlog duration extends. FY26E applies to Q3 and Q4. FY25A is the weighted average.</t>
        </r>
      </text>
    </comment>
    <comment ref="E32" authorId="0">
      <text>
        <r>
          <rPr>
            <sz val="10"/>
            <rFont val="Arial"/>
            <family val="2"/>
          </rPr>
          <t xml:space="preserve">Per quarter. Q2'26 alone was 18 GW. FY26E applies to Q3 and Q4. Mostly 2031+ slots after 2026.</t>
        </r>
      </text>
    </comment>
    <comment ref="E37" authorId="0">
      <text>
        <r>
          <rPr>
            <sz val="10"/>
            <rFont val="Arial"/>
            <family val="2"/>
          </rPr>
          <t xml:space="preserve">Per quarter. Q2'26 was 17.9% (10 GW of 56). SRAs sit outside RPO; deposits are non-refundable but orders are not firm.</t>
        </r>
      </text>
    </comment>
    <comment ref="E42" authorId="0">
      <text>
        <r>
          <rPr>
            <sz val="10"/>
            <rFont val="Arial"/>
            <family val="2"/>
          </rPr>
          <t xml:space="preserve">Per quarter. Bear: reservations are walked away from when demand fades.</t>
        </r>
      </text>
    </comment>
    <comment ref="E47" authorId="0">
      <text>
        <r>
          <rPr>
            <sz val="10"/>
            <rFont val="Arial"/>
            <family val="2"/>
          </rPr>
          <t xml:space="preserve">Per quarter. Q2'26: 2 GW of direct orders against 10 GW converted from SRAs.</t>
        </r>
      </text>
    </comment>
    <comment ref="E52" authorId="0">
      <text>
        <r>
          <rPr>
            <sz val="10"/>
            <rFont val="Arial"/>
            <family val="2"/>
          </rPr>
          <t xml:space="preserve">Per quarter. Applied to the newest slots first. This is the "build-out does not happen" lever.</t>
        </r>
      </text>
    </comment>
    <comment ref="E62" authorId="0">
      <text>
        <r>
          <rPr>
            <sz val="10"/>
            <rFont val="Arial"/>
            <family val="2"/>
          </rPr>
          <t xml:space="preserve">Per quarter. FY26E: Q3 and Q4 step up from the H1'26A average of $513mm/GW (guidance needs a large H2 step-up).</t>
        </r>
      </text>
    </comment>
    <comment ref="E68" authorId="0">
      <text>
        <r>
          <rPr>
            <sz val="10"/>
            <rFont val="Arial"/>
            <family val="2"/>
          </rPr>
          <t xml:space="preserve">H1'26A +5.8% YoY. Bear: lower fleet utilisation and fewer upgrades.</t>
        </r>
      </text>
    </comment>
    <comment ref="E79" authorId="0">
      <text>
        <r>
          <rPr>
            <sz val="10"/>
            <rFont val="Arial"/>
            <family val="2"/>
          </rPr>
          <t xml:space="preserve">FY25A 6.9 GW; H1'26A 2.0 GW. Q2'26 orders down 40% YoY. Guide: revenue down low double digits. Phased by quarter below.</t>
        </r>
      </text>
    </comment>
    <comment ref="E84" authorId="0">
      <text>
        <r>
          <rPr>
            <sz val="10"/>
            <rFont val="Arial"/>
            <family val="2"/>
          </rPr>
          <t xml:space="preserve">FY25A $1,051mm/GW. H1'26A $1,142mm/GW. Level applies to every projected quarter in the year.</t>
        </r>
      </text>
    </comment>
    <comment ref="E89" authorId="0">
      <text>
        <r>
          <rPr>
            <sz val="10"/>
            <rFont val="Arial"/>
            <family val="2"/>
          </rPr>
          <t xml:space="preserve">H1'26A +33% YoY (services mix rises as equipment falls).</t>
        </r>
      </text>
    </comment>
    <comment ref="E95" authorId="0">
      <text>
        <r>
          <rPr>
            <sz val="10"/>
            <rFont val="Arial"/>
            <family val="2"/>
          </rPr>
          <t xml:space="preserve">Mgmt: 5 GW/qtr (20 GW run-rate) from Q3'26, 24 GW in 2028, 30 GW by 2030. Annual cells add up the quarters (FY26E = H2 only).</t>
        </r>
      </text>
    </comment>
    <comment ref="E96" authorId="0">
      <text>
        <r>
          <rPr>
            <sz val="10"/>
            <rFont val="Arial"/>
            <family val="2"/>
          </rPr>
          <t xml:space="preserve">Book-and-ship portion of new equipment orders.</t>
        </r>
      </text>
    </comment>
    <comment ref="E100" authorId="0">
      <text>
        <r>
          <rPr>
            <sz val="10"/>
            <rFont val="Arial"/>
            <family val="2"/>
          </rPr>
          <t xml:space="preserve">FY25 implied equipment orders by quarter: 19% / 20% / 25% / 35%. Smoothed.</t>
        </r>
      </text>
    </comment>
    <comment ref="E101" authorId="0">
      <text>
        <r>
          <rPr>
            <sz val="10"/>
            <rFont val="Arial"/>
            <family val="2"/>
          </rPr>
          <t xml:space="preserve">FY25 shipments by quarter: 19% / 25% / 30% / 26%.</t>
        </r>
      </text>
    </comment>
    <comment ref="E104" authorId="0">
      <text>
        <r>
          <rPr>
            <sz val="10"/>
            <rFont val="Arial"/>
            <family val="2"/>
          </rPr>
          <t xml:space="preserve">FY26E guide 12-14%. FY28E: thesis 16% base, 18% bull, 13% bear. Company 2028 target 20%; Street 21.6%.</t>
        </r>
      </text>
    </comment>
    <comment ref="E109" authorId="0">
      <text>
        <r>
          <rPr>
            <sz val="10"/>
            <rFont val="Arial"/>
            <family val="2"/>
          </rPr>
          <t xml:space="preserve">Dec-25 58.9%, Jun-26 65.7%. Falls as deliveries use up deposits and new orders carry lower down payments.</t>
        </r>
      </text>
    </comment>
    <comment ref="E120" authorId="0">
      <text>
        <r>
          <rPr>
            <sz val="10"/>
            <rFont val="Arial"/>
            <family val="2"/>
          </rPr>
          <t xml:space="preserve">H1'26A 3.7% (Prolec intangibles lifted amortisation); FY25A 2.2%. FY26E applies to H2.</t>
        </r>
      </text>
    </comment>
    <comment ref="E121" authorId="0">
      <text>
        <r>
          <rPr>
            <sz val="10"/>
            <rFont val="Arial"/>
            <family val="2"/>
          </rPr>
          <t xml:space="preserve">FY25A 3.4%, H1'26A 3.8%. Consensus capex ~$1.5B a year. Capacity plan keeps it near 3%.</t>
        </r>
      </text>
    </comment>
    <comment ref="E122" authorId="0">
      <text>
        <r>
          <rPr>
            <sz val="10"/>
            <rFont val="Arial"/>
            <family val="2"/>
          </rPr>
          <t xml:space="preserve">Receivables, inventories, contract assets less payables. FY25A 125%, H1'26A 60%. FY26E applies to H2 versus H2'25.</t>
        </r>
      </text>
    </comment>
    <comment ref="E123" authorId="0">
      <text>
        <r>
          <rPr>
            <sz val="10"/>
            <rFont val="Arial"/>
            <family val="2"/>
          </rPr>
          <t xml:space="preserve">FY25A 4.7%, H1'26A 10.4% (incl. a $606M pension contribution). FY26E applies to H2.</t>
        </r>
      </text>
    </comment>
    <comment ref="E124" authorId="0">
      <text>
        <r>
          <rPr>
            <sz val="10"/>
            <rFont val="Arial"/>
            <family val="2"/>
          </rPr>
          <t xml:space="preserve">Marginal US federal plus state and foreign mix. Consensus FY27 net income implies ~25%.</t>
        </r>
      </text>
    </comment>
    <comment ref="E125" authorId="0">
      <text>
        <r>
          <rPr>
            <sz val="10"/>
            <rFont val="Arial"/>
            <family val="2"/>
          </rPr>
          <t xml:space="preserve">Jun-26: $39,261mm over 53 GW. Dec-25 was $618mm/GW. Held flat (conservative: SRAs convert at $790-950mm/GW per BNP).</t>
        </r>
      </text>
    </comment>
    <comment ref="E128" authorId="0">
      <text>
        <r>
          <rPr>
            <sz val="10"/>
            <rFont val="Arial"/>
            <family val="2"/>
          </rPr>
          <t xml:space="preserve">Dec-25 1.26x; Jun-26 1.79x on annualised H1 revenue.</t>
        </r>
      </text>
    </comment>
    <comment ref="J157" authorId="0">
      <text>
        <r>
          <rPr>
            <sz val="10"/>
            <rFont val="Arial"/>
            <family val="2"/>
          </rPr>
          <t xml:space="preserve">From GE_Vernova_GEV_Short_Thesis.docx: 2028 revenue cases bull $58B, base $55B, bear $50B (EBITDA margin 18% / 16% / 13%).</t>
        </r>
      </text>
    </comment>
    <comment ref="J162" authorId="0">
      <text>
        <r>
          <rPr>
            <sz val="10"/>
            <rFont val="Arial"/>
            <family val="2"/>
          </rPr>
          <t xml:space="preserve">From GE_Vernova_GEV_Short_Thesis.docx: base ~$700 (20x 2028 EBITDA), bear ~$430 (16x), bull ~$1,215 (30x). Multiple-based, not a DCF.</t>
        </r>
      </text>
    </comment>
    <comment ref="X95" authorId="0">
      <text>
        <r>
          <rPr>
            <sz val="10"/>
            <rFont val="Arial"/>
            <family val="2"/>
          </rPr>
          <t xml:space="preserve">Q3'26 4.5 GW (ramp from ~3 GW/qtr), Q4'26 5.0 GW (20 GW run-rate). 2027 averages 5.25 GW/qtr, 2028 6.0 GW/qtr, 2029 6.75 GW/qtr and 2030 7.5 GW/qtr, interpolating the company plan of 24 GW in 2028 and 30 GW by 2030.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3" authorId="0">
      <text>
        <r>
          <rPr>
            <sz val="10"/>
            <rFont val="Arial"/>
            <family val="2"/>
          </rPr>
          <t xml:space="preserve">FY29E (exit-value basis) uses the Revenue tab and the FY2029E margin on Key Drivers.</t>
        </r>
      </text>
    </comment>
    <comment ref="C15" authorId="0">
      <text>
        <r>
          <rPr>
            <sz val="10"/>
            <rFont val="Arial"/>
            <family val="2"/>
          </rPr>
          <t xml:space="preserve">Excludes amounts in restructuring. Prolec intangibles lift 2026.</t>
        </r>
      </text>
    </comment>
    <comment ref="C16" authorId="0">
      <text>
        <r>
          <rPr>
            <sz val="10"/>
            <rFont val="Arial"/>
            <family val="2"/>
          </rPr>
          <t xml:space="preserve">Before restructuring, separation costs and non-operating pension income.</t>
        </r>
      </text>
    </comment>
    <comment ref="C21" authorId="0">
      <text>
        <r>
          <rPr>
            <sz val="10"/>
            <rFont val="Arial"/>
            <family val="2"/>
          </rPr>
          <t xml:space="preserve">Receivables, inventories, contract assets less payables.</t>
        </r>
      </text>
    </comment>
    <comment ref="C23" authorId="0">
      <text>
        <r>
          <rPr>
            <sz val="10"/>
            <rFont val="Arial"/>
            <family val="2"/>
          </rPr>
          <t xml:space="preserve">Pension and OPEB contributions plus other operating items.</t>
        </r>
      </text>
    </comment>
    <comment ref="C24" authorId="0">
      <text>
        <r>
          <rPr>
            <sz val="10"/>
            <rFont val="Arial"/>
            <family val="2"/>
          </rPr>
          <t xml:space="preserve">Q1-Q2'26 are actual cash flows rebuilt on the same definition. Q1-Q2'26 are not discounted: they are already in the Jun-26 balance sheet.</t>
        </r>
      </text>
    </comment>
    <comment ref="C41" authorId="0">
      <text>
        <r>
          <rPr>
            <sz val="10"/>
            <rFont val="Arial"/>
            <family val="2"/>
          </rPr>
          <t xml:space="preserve">Q1-Q2'26 are reported balances (GEV Quarterly rows 287-289). Projected balances are RPO x deposit rate; the change in this balance is the deposit line in the cash flow.</t>
        </r>
      </text>
    </comment>
    <comment ref="C45" authorId="0">
      <text>
        <r>
          <rPr>
            <sz val="10"/>
            <rFont val="Arial"/>
            <family val="2"/>
          </rPr>
          <t xml:space="preserve">Thesis re-rating: 20x base, 30x bull, 16x bear. Applied to FY2029E EBITDA, the next twelve months as seen from Dec-28.</t>
        </r>
      </text>
    </comment>
    <comment ref="C55" authorId="0">
      <text>
        <r>
          <rPr>
            <sz val="10"/>
            <rFont val="Arial"/>
            <family val="2"/>
          </rPr>
          <t xml:space="preserve">Operating leases are not deducted: their cost is inside EBITDA.</t>
        </r>
      </text>
    </comment>
    <comment ref="C57" authorId="0">
      <text>
        <r>
          <rPr>
            <sz val="10"/>
            <rFont val="Arial"/>
            <family val="2"/>
          </rPr>
          <t xml:space="preserve">Non-operating pension income is excluded from EBITDA.</t>
        </r>
      </text>
    </comment>
    <comment ref="C69" authorId="0">
      <text>
        <r>
          <rPr>
            <sz val="10"/>
            <rFont val="Arial"/>
            <family val="2"/>
          </rPr>
          <t xml:space="preserve">Growth rate that equates the exit value to a perpetuity of FY2028E UFCF at the WACC. Compare with long-run nominal growth of about 3-4%.</t>
        </r>
      </text>
    </comment>
    <comment ref="E5" authorId="0">
      <text>
        <r>
          <rPr>
            <sz val="10"/>
            <rFont val="Arial"/>
            <family val="2"/>
          </rPr>
          <t xml:space="preserve">Change on 'Key Drivers'.</t>
        </r>
      </text>
    </comment>
    <comment ref="F84" authorId="0">
      <text>
        <r>
          <rPr>
            <sz val="10"/>
            <rFont val="Arial"/>
            <family val="2"/>
          </rPr>
          <t xml:space="preserve">Company FY26 guidance: adjusted EBITDA margin 12-14%.</t>
        </r>
      </text>
    </comment>
    <comment ref="F86" authorId="0">
      <text>
        <r>
          <rPr>
            <sz val="10"/>
            <rFont val="Arial"/>
            <family val="2"/>
          </rPr>
          <t xml:space="preserve">Company FY26 free cash flow guidance $11.5-$12.5B. Tolerance +/- $500mm.</t>
        </r>
      </text>
    </comment>
    <comment ref="N47" authorId="0">
      <text>
        <r>
          <rPr>
            <sz val="10"/>
            <rFont val="Arial"/>
            <family val="2"/>
          </rPr>
          <t xml:space="preserve">Close on 1-Oct-26 (StockAnalysis). The thesis uses about $955 (29-30 Sep close $950.49).</t>
        </r>
      </text>
    </comment>
    <comment ref="N49" authorId="0">
      <text>
        <r>
          <rPr>
            <sz val="10"/>
            <rFont val="Arial"/>
            <family val="2"/>
          </rPr>
          <t xml:space="preserve">Latest balance sheet (2Q26 10-Q). Q3 results are due 28-Oct-26.</t>
        </r>
      </text>
    </comment>
    <comment ref="N51" authorId="0">
      <text>
        <r>
          <rPr>
            <sz val="10"/>
            <rFont val="Arial"/>
            <family val="2"/>
          </rPr>
          <t xml:space="preserve">Q2'26 diluted less basic weighted average shares (RSUs and options).</t>
        </r>
      </text>
    </comment>
    <comment ref="N55" authorId="0">
      <text>
        <r>
          <rPr>
            <sz val="10"/>
            <rFont val="Arial"/>
            <family val="2"/>
          </rPr>
          <t xml:space="preserve">Selected case from Key Drivers: thesis 20x base, 30x bull, 16x bear, applied to next-12-month (FY2029E) EBITDA at Dec-28.</t>
        </r>
      </text>
    </comment>
    <comment ref="N57" authorId="0">
      <text>
        <r>
          <rPr>
            <sz val="10"/>
            <rFont val="Arial"/>
            <family val="2"/>
          </rPr>
          <t xml:space="preserve">Market cap less the same bridge items as the DCF</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52" authorId="0">
      <text>
        <r>
          <rPr>
            <sz val="10"/>
            <rFont val="Arial"/>
            <family val="2"/>
          </rPr>
          <t xml:space="preserve">Thesis re-rating: 20x base, 30x bull, 16x bear. Applied to FY2029E EBITDA, the next twelve months as seen from Dec-28.</t>
        </r>
      </text>
    </comment>
    <comment ref="C62" authorId="0">
      <text>
        <r>
          <rPr>
            <sz val="10"/>
            <rFont val="Arial"/>
            <family val="2"/>
          </rPr>
          <t xml:space="preserve">Operating leases are not deducted: their cost is inside EBITDA.</t>
        </r>
      </text>
    </comment>
    <comment ref="C64" authorId="0">
      <text>
        <r>
          <rPr>
            <sz val="10"/>
            <rFont val="Arial"/>
            <family val="2"/>
          </rPr>
          <t xml:space="preserve">Non-operating pension income is excluded from EBITDA.</t>
        </r>
      </text>
    </comment>
    <comment ref="C76" authorId="0">
      <text>
        <r>
          <rPr>
            <sz val="10"/>
            <rFont val="Arial"/>
            <family val="2"/>
          </rPr>
          <t xml:space="preserve">Growth rate that equates the exit value to a perpetuity of FY2028E UFCF at the WACC. Compare with long-run nominal growth of about 3-4%.</t>
        </r>
      </text>
    </comment>
    <comment ref="N54" authorId="0">
      <text>
        <r>
          <rPr>
            <sz val="10"/>
            <rFont val="Arial"/>
            <family val="2"/>
          </rPr>
          <t xml:space="preserve">Close on 1-Oct-26 (StockAnalysis). The thesis uses about $955 (29-30 Sep close $950.49).</t>
        </r>
      </text>
    </comment>
    <comment ref="N56" authorId="0">
      <text>
        <r>
          <rPr>
            <sz val="10"/>
            <rFont val="Arial"/>
            <family val="2"/>
          </rPr>
          <t xml:space="preserve">Latest balance sheet (2Q26 10-Q). Q3 results are due 28-Oct-26.</t>
        </r>
      </text>
    </comment>
    <comment ref="N58" authorId="0">
      <text>
        <r>
          <rPr>
            <sz val="10"/>
            <rFont val="Arial"/>
            <family val="2"/>
          </rPr>
          <t xml:space="preserve">Q2'26 diluted less basic weighted average shares (RSUs and options).</t>
        </r>
      </text>
    </comment>
    <comment ref="N62" authorId="0">
      <text>
        <r>
          <rPr>
            <sz val="10"/>
            <rFont val="Arial"/>
            <family val="2"/>
          </rPr>
          <t xml:space="preserve">Base-case multiple from Key Drivers, held for every scenario.</t>
        </r>
      </text>
    </comment>
    <comment ref="N64" authorId="0">
      <text>
        <r>
          <rPr>
            <sz val="10"/>
            <rFont val="Arial"/>
            <family val="2"/>
          </rPr>
          <t xml:space="preserve">Market cap less the same bridge items as the DCF</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11" authorId="0">
      <text>
        <r>
          <rPr>
            <sz val="10"/>
            <rFont val="Arial"/>
            <family val="2"/>
          </rPr>
          <t xml:space="preserve">Consensus (MarketScreener, 37 analysts, 2-Oct-26): FY26 $46.3B, FY27 $52.8B, FY28 $60.6B. Yahoo Finance shows FY27 $52.7B. Quarters are the annual figure times the FY25 seasonal pattern; Q3 and Q4 2026 share the remainder after H1 actual.</t>
        </r>
      </text>
    </comment>
    <comment ref="C23" authorId="0">
      <text>
        <r>
          <rPr>
            <sz val="10"/>
            <rFont val="Arial"/>
            <family val="2"/>
          </rPr>
          <t xml:space="preserve">Consensus FCF less (NOPAT + D&amp;A + capex). This is the float the Street is assuming. FY29E onward is not needed: the exit value uses FY29E EBITDA only.</t>
        </r>
      </text>
    </comment>
    <comment ref="C32" authorId="0">
      <text>
        <r>
          <rPr>
            <sz val="10"/>
            <rFont val="Arial"/>
            <family val="2"/>
          </rPr>
          <t xml:space="preserve">Thesis re-rating: 20x base, 30x bull, 16x bear. Applied to FY2029E EBITDA, the next twelve months as seen from Dec-28.</t>
        </r>
      </text>
    </comment>
    <comment ref="C42" authorId="0">
      <text>
        <r>
          <rPr>
            <sz val="10"/>
            <rFont val="Arial"/>
            <family val="2"/>
          </rPr>
          <t xml:space="preserve">Operating leases are not deducted: their cost is inside EBITDA.</t>
        </r>
      </text>
    </comment>
    <comment ref="C44" authorId="0">
      <text>
        <r>
          <rPr>
            <sz val="10"/>
            <rFont val="Arial"/>
            <family val="2"/>
          </rPr>
          <t xml:space="preserve">Non-operating pension income is excluded from EBITDA.</t>
        </r>
      </text>
    </comment>
    <comment ref="C56" authorId="0">
      <text>
        <r>
          <rPr>
            <sz val="10"/>
            <rFont val="Arial"/>
            <family val="2"/>
          </rPr>
          <t xml:space="preserve">Growth rate that equates the exit value to a perpetuity of FY2028E UFCF at the WACC. Compare with long-run nominal growth of about 3-4%.</t>
        </r>
      </text>
    </comment>
    <comment ref="C72" authorId="0">
      <text>
        <r>
          <rPr>
            <sz val="10"/>
            <rFont val="Arial"/>
            <family val="2"/>
          </rPr>
          <t xml:space="preserve">Multiple on FY2029E consensus EBITDA that makes the 6-month DCF value equal the Street target.</t>
        </r>
      </text>
    </comment>
    <comment ref="F70" authorId="0">
      <text>
        <r>
          <rPr>
            <sz val="10"/>
            <rFont val="Arial"/>
            <family val="2"/>
          </rPr>
          <t xml:space="preserve">Mean target of 37 analysts: $1,237 (StockAnalysis, 1-Oct-26); $1,231.67 on MarketScreener; $1,171.87 on MarketBeat. The only Sell is GLJ Research at $470.</t>
        </r>
      </text>
    </comment>
    <comment ref="N34" authorId="0">
      <text>
        <r>
          <rPr>
            <sz val="10"/>
            <rFont val="Arial"/>
            <family val="2"/>
          </rPr>
          <t xml:space="preserve">Close on 1-Oct-26 (StockAnalysis). The thesis uses about $955 (29-30 Sep close $950.49).</t>
        </r>
      </text>
    </comment>
    <comment ref="N36" authorId="0">
      <text>
        <r>
          <rPr>
            <sz val="10"/>
            <rFont val="Arial"/>
            <family val="2"/>
          </rPr>
          <t xml:space="preserve">Latest balance sheet (2Q26 10-Q). Q3 results are due 28-Oct-26.</t>
        </r>
      </text>
    </comment>
    <comment ref="N38" authorId="0">
      <text>
        <r>
          <rPr>
            <sz val="10"/>
            <rFont val="Arial"/>
            <family val="2"/>
          </rPr>
          <t xml:space="preserve">Q2'26 diluted less basic weighted average shares (RSUs and options).</t>
        </r>
      </text>
    </comment>
    <comment ref="N42" authorId="0">
      <text>
        <r>
          <rPr>
            <sz val="10"/>
            <rFont val="Arial"/>
            <family val="2"/>
          </rPr>
          <t xml:space="preserve">Base-case multiple from Key Drivers, held for every scenario.</t>
        </r>
      </text>
    </comment>
    <comment ref="N44" authorId="0">
      <text>
        <r>
          <rPr>
            <sz val="10"/>
            <rFont val="Arial"/>
            <family val="2"/>
          </rPr>
          <t xml:space="preserve">Market cap less the same bridge items as the DCF</t>
        </r>
      </text>
    </comment>
    <comment ref="V12" authorId="0">
      <text>
        <r>
          <rPr>
            <sz val="10"/>
            <rFont val="Arial"/>
            <family val="2"/>
          </rPr>
          <t xml:space="preserve">Consensus ends at FY2028E. FY2029E growth of 12% is an assumption (FY2028E consensus growth is 14.8%). It only sets the exit value basis.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D38" authorId="0">
      <text>
        <r>
          <rPr>
            <sz val="10"/>
            <rFont val="Arial"/>
            <family val="2"/>
          </rPr>
          <t xml:space="preserve">GE Vernova priced $2.6B of senior notes on 4-Feb-26: $600M 4.250% due 2031, $1B 4.875% due 2036, $1B 5.500% due 2056 (company release). Coupons were set when the 10-year was below 5%; debt is about 1% of capital, so the effect on WACC is small.</t>
        </r>
      </text>
    </comment>
    <comment ref="E30" authorId="0">
      <text>
        <r>
          <rPr>
            <sz val="10"/>
            <rFont val="Arial"/>
            <family val="2"/>
          </rPr>
          <t xml:space="preserve">10-year Treasury yield, 1-2 Oct 2026: about 5.25%, after 5.33% on 30-Sep (highest since 2002). Trading Economics / CNBC.</t>
        </r>
      </text>
    </comment>
    <comment ref="E31" authorId="0">
      <text>
        <r>
          <rPr>
            <sz val="10"/>
            <rFont val="Arial"/>
            <family val="2"/>
          </rPr>
          <t xml:space="preserve">Damodaran implied US equity risk premium, July 2026 update: 4.45%.</t>
        </r>
      </text>
    </comment>
    <comment ref="E48" authorId="0">
      <text>
        <r>
          <rPr>
            <sz val="10"/>
            <rFont val="Arial"/>
            <family val="2"/>
          </rPr>
          <t xml:space="preserve">Total debt $3.72B (S&amp;P Global Market Intelligence via StockAnalysis, 2-Oct-26): $2.79B borrowings plus about $0.9B leases. Leases are included to match the peers' debt definition; they are not deducted in the equity bridge because operating lease cost is already inside EBITDA.</t>
        </r>
      </text>
    </comment>
    <comment ref="F11" authorId="0">
      <text>
        <r>
          <rPr>
            <sz val="10"/>
            <rFont val="Arial"/>
            <family val="2"/>
          </rPr>
          <t xml:space="preserve">Siemens Energy AG: 5-year beta, total debt and market cap as of 29-Sep-26 (S&amp;P Global Market Intelligence via StockAnalysis). Tax rate is the statutory rate of the main listing country (assumption).</t>
        </r>
      </text>
    </comment>
    <comment ref="F12" authorId="0">
      <text>
        <r>
          <rPr>
            <sz val="10"/>
            <rFont val="Arial"/>
            <family val="2"/>
          </rPr>
          <t xml:space="preserve">Mitsubishi Heavy Industries: 5-year beta, total debt and market cap as of 15-Sep-26 (S&amp;P Global Market Intelligence via StockAnalysis). Tax rate is the statutory rate of the main listing country (assumption).</t>
        </r>
      </text>
    </comment>
    <comment ref="F13" authorId="0">
      <text>
        <r>
          <rPr>
            <sz val="10"/>
            <rFont val="Arial"/>
            <family val="2"/>
          </rPr>
          <t xml:space="preserve">GE Aerospace: 5-year beta, total debt and market cap as of 1-Oct-26 (S&amp;P Global Market Intelligence via StockAnalysis). Tax rate is the statutory rate of the main listing country (assumption).</t>
        </r>
      </text>
    </comment>
    <comment ref="F14" authorId="0">
      <text>
        <r>
          <rPr>
            <sz val="10"/>
            <rFont val="Arial"/>
            <family val="2"/>
          </rPr>
          <t xml:space="preserve">Eaton Corporation plc: 5-year beta, total debt and market cap as of 1-Oct-26 (S&amp;P Global Market Intelligence via StockAnalysis). Tax rate is the statutory rate of the main listing country (assumption).</t>
        </r>
      </text>
    </comment>
    <comment ref="F15" authorId="0">
      <text>
        <r>
          <rPr>
            <sz val="10"/>
            <rFont val="Arial"/>
            <family val="2"/>
          </rPr>
          <t xml:space="preserve">Schneider Electric SE: 5-year beta, total debt and market cap as of 30-Sep-26 (S&amp;P Global Market Intelligence via StockAnalysis). Tax rate is the statutory rate of the main listing country (assumption).</t>
        </r>
      </text>
    </comment>
    <comment ref="F16" authorId="0">
      <text>
        <r>
          <rPr>
            <sz val="10"/>
            <rFont val="Arial"/>
            <family val="2"/>
          </rPr>
          <t xml:space="preserve">ABB Ltd: 5-year beta, total debt and market cap as of 29-Sep-26 (S&amp;P Global Market Intelligence via StockAnalysis). Tax rate is the statutory rate of the main listing country (assumption).</t>
        </r>
      </text>
    </comment>
    <comment ref="F17" authorId="0">
      <text>
        <r>
          <rPr>
            <sz val="10"/>
            <rFont val="Arial"/>
            <family val="2"/>
          </rPr>
          <t xml:space="preserve">Hitachi, Ltd.: 5-year beta, total debt and market cap as of 1-Oct-26 (S&amp;P Global Market Intelligence via StockAnalysis). Tax rate is the statutory rate of the main listing country (assumption).</t>
        </r>
      </text>
    </comment>
    <comment ref="F18" authorId="0">
      <text>
        <r>
          <rPr>
            <sz val="10"/>
            <rFont val="Arial"/>
            <family val="2"/>
          </rPr>
          <t xml:space="preserve">Hubbell Incorporated: 5-year beta, total debt and market cap as of 2-Oct-26 (S&amp;P Global Market Intelligence via StockAnalysis). Tax rate is the statutory rate of the main listing country (assumption).</t>
        </r>
      </text>
    </comment>
    <comment ref="F19" authorId="0">
      <text>
        <r>
          <rPr>
            <sz val="10"/>
            <rFont val="Arial"/>
            <family val="2"/>
          </rPr>
          <t xml:space="preserve">Vertiv Holdings Co: 5-year beta, total debt and market cap as of 2-Oct-26 (S&amp;P Global Market Intelligence via StockAnalysis). Tax rate is the statutory rate of the main listing country (assumption).</t>
        </r>
      </text>
    </comment>
    <comment ref="F20" authorId="0">
      <text>
        <r>
          <rPr>
            <sz val="10"/>
            <rFont val="Arial"/>
            <family val="2"/>
          </rPr>
          <t xml:space="preserve">Emerson Electric Co.: 5-year beta, total debt and market cap as of 1-Oct-26 (S&amp;P Global Market Intelligence via StockAnalysis). Tax rate is the statutory rate of the main listing country (assumption).</t>
        </r>
      </text>
    </comment>
    <comment ref="F21" authorId="0">
      <text>
        <r>
          <rPr>
            <sz val="10"/>
            <rFont val="Arial"/>
            <family val="2"/>
          </rPr>
          <t xml:space="preserve">Quanta Services: 5-year beta, total debt and market cap as of 2-Oct-26 (S&amp;P Global Market Intelligence via StockAnalysis). Tax rate is the statutory rate of the main listing country (assumption).</t>
        </r>
      </text>
    </comment>
    <comment ref="F26" authorId="0">
      <text>
        <r>
          <rPr>
            <sz val="10"/>
            <rFont val="Arial"/>
            <family val="2"/>
          </rPr>
          <t xml:space="preserve">GEV 5-year monthly beta 0.97 (Yahoo Finance / StockAnalysis, 1-Oct-26). Reference only: GEV has about 2.5 years of trading history, so the model uses the peer beta.</t>
        </r>
      </text>
    </comment>
  </commentList>
</comments>
</file>

<file path=xl/sharedStrings.xml><?xml version="1.0" encoding="utf-8"?>
<sst xmlns="http://schemas.openxmlformats.org/spreadsheetml/2006/main" count="1657" uniqueCount="945">
  <si>
    <t xml:space="preserve">GE Vernova Inc. (GEV): Quarterly Financials and Segment Data</t>
  </si>
  <si>
    <t xml:space="preserve">US$ millions except per-share, unit and percentage data. Blue = taken from the 10-Qs, black = formula. Grey = not in the filings provided. Yellow italic = estimate. Q4 = full year (10-K) less 9M. Notes at the bottom.</t>
  </si>
  <si>
    <t xml:space="preserve">Fiscal year</t>
  </si>
  <si>
    <t xml:space="preserve">2024</t>
  </si>
  <si>
    <t xml:space="preserve">2025</t>
  </si>
  <si>
    <t xml:space="preserve">2026</t>
  </si>
  <si>
    <t xml:space="preserve">Quarter</t>
  </si>
  <si>
    <t xml:space="preserve">Q1'24</t>
  </si>
  <si>
    <t xml:space="preserve">Q2'24</t>
  </si>
  <si>
    <t xml:space="preserve">Q3'24</t>
  </si>
  <si>
    <t xml:space="preserve">Q4'24</t>
  </si>
  <si>
    <t xml:space="preserve">Q1'25</t>
  </si>
  <si>
    <t xml:space="preserve">Q2'25</t>
  </si>
  <si>
    <t xml:space="preserve">Q3'25</t>
  </si>
  <si>
    <t xml:space="preserve">Q4'25</t>
  </si>
  <si>
    <t xml:space="preserve">Q1'26</t>
  </si>
  <si>
    <t xml:space="preserve">Q2'26</t>
  </si>
  <si>
    <t xml:space="preserve">Period end</t>
  </si>
  <si>
    <t xml:space="preserve">Mar 31, 2024</t>
  </si>
  <si>
    <t xml:space="preserve">Jun 30, 2024</t>
  </si>
  <si>
    <t xml:space="preserve">Sep 30, 2024</t>
  </si>
  <si>
    <t xml:space="preserve">Dec 31, 2024</t>
  </si>
  <si>
    <t xml:space="preserve">Mar 31, 2025</t>
  </si>
  <si>
    <t xml:space="preserve">Jun 30, 2025</t>
  </si>
  <si>
    <t xml:space="preserve">Sep 30, 2025</t>
  </si>
  <si>
    <t xml:space="preserve">Dec 31, 2025</t>
  </si>
  <si>
    <t xml:space="preserve">Mar 31, 2026</t>
  </si>
  <si>
    <t xml:space="preserve">Jun 30, 2026</t>
  </si>
  <si>
    <t xml:space="preserve">Source for income statement, cash flow and segments (latest 10-Q reporting the quarter)</t>
  </si>
  <si>
    <t xml:space="preserve">1Q25 10-Q</t>
  </si>
  <si>
    <t xml:space="preserve">2Q25 10-Q</t>
  </si>
  <si>
    <t xml:space="preserve">3Q25 10-Q</t>
  </si>
  <si>
    <t xml:space="preserve">FY24 10-K less 9M</t>
  </si>
  <si>
    <t xml:space="preserve">1Q26 10-Q</t>
  </si>
  <si>
    <t xml:space="preserve">2Q26 10-Q</t>
  </si>
  <si>
    <t xml:space="preserve">FY25 10-K less 9M</t>
  </si>
  <si>
    <t xml:space="preserve">INCOME STATEMENT</t>
  </si>
  <si>
    <t xml:space="preserve">Sales of equipment</t>
  </si>
  <si>
    <t xml:space="preserve">Sales of services</t>
  </si>
  <si>
    <t xml:space="preserve">Total revenues</t>
  </si>
  <si>
    <t xml:space="preserve">Cost of equipment</t>
  </si>
  <si>
    <t xml:space="preserve">Cost of services</t>
  </si>
  <si>
    <t xml:space="preserve">Gross profit</t>
  </si>
  <si>
    <t xml:space="preserve">Selling, general and administrative</t>
  </si>
  <si>
    <t xml:space="preserve">Research and development</t>
  </si>
  <si>
    <t xml:space="preserve">Operating income (loss)</t>
  </si>
  <si>
    <t xml:space="preserve">Interest and other financial income (charges), net</t>
  </si>
  <si>
    <t xml:space="preserve">Non-operating benefit income</t>
  </si>
  <si>
    <t xml:space="preserve">Other income (expense), net</t>
  </si>
  <si>
    <t xml:space="preserve">Income (loss) before income taxes</t>
  </si>
  <si>
    <t xml:space="preserve">Provision (benefit) for income taxes</t>
  </si>
  <si>
    <t xml:space="preserve">Net income (loss)</t>
  </si>
  <si>
    <t xml:space="preserve">Net loss (income) attributable to noncontrolling interests</t>
  </si>
  <si>
    <t xml:space="preserve">Net income (loss) attributable to GE Vernova</t>
  </si>
  <si>
    <t xml:space="preserve">EPS, basic ($)</t>
  </si>
  <si>
    <t xml:space="preserve">EPS, diluted ($)</t>
  </si>
  <si>
    <t xml:space="preserve">Weighted-avg shares, basic (mm)</t>
  </si>
  <si>
    <t xml:space="preserve">Weighted-avg shares, diluted (mm)</t>
  </si>
  <si>
    <t xml:space="preserve">GROWTH AND MARGINS</t>
  </si>
  <si>
    <t xml:space="preserve">Total revenue growth, YoY</t>
  </si>
  <si>
    <t xml:space="preserve">Equipment revenue growth, YoY</t>
  </si>
  <si>
    <t xml:space="preserve">Services revenue growth, YoY</t>
  </si>
  <si>
    <t xml:space="preserve">Gross margin</t>
  </si>
  <si>
    <t xml:space="preserve">Equipment gross margin</t>
  </si>
  <si>
    <t xml:space="preserve">Services gross margin</t>
  </si>
  <si>
    <t xml:space="preserve">SG&amp;A as % of revenue</t>
  </si>
  <si>
    <t xml:space="preserve">R&amp;D as % of revenue</t>
  </si>
  <si>
    <t xml:space="preserve">Operating margin</t>
  </si>
  <si>
    <t xml:space="preserve">Pre-tax income excl. other income (expense)</t>
  </si>
  <si>
    <t xml:space="preserve">Net margin (attributable to GE Vernova)</t>
  </si>
  <si>
    <t xml:space="preserve">Effective tax rate (blank when pre-tax income is negative)</t>
  </si>
  <si>
    <t xml:space="preserve">Adjusted EBITDA margin (company-defined)</t>
  </si>
  <si>
    <t xml:space="preserve">ADJUSTED EBITDA BRIDGE (company non-GAAP, three months)</t>
  </si>
  <si>
    <t xml:space="preserve">Net income (loss), GAAP</t>
  </si>
  <si>
    <t xml:space="preserve">Restructuring and other charges</t>
  </si>
  <si>
    <t xml:space="preserve">(Gains) losses on purchases and sales of business interests</t>
  </si>
  <si>
    <t xml:space="preserve">Separation costs (benefits)</t>
  </si>
  <si>
    <t xml:space="preserve">Arbitration refund</t>
  </si>
  <si>
    <t xml:space="preserve">Depreciation and amortization (excl. amounts in restructuring)</t>
  </si>
  <si>
    <t xml:space="preserve">Interest and other financial (income) charges, net</t>
  </si>
  <si>
    <t xml:space="preserve">Provision (benefit) for income taxes (excl. Financial Services)</t>
  </si>
  <si>
    <t xml:space="preserve">Adjusted EBITDA (as reported)</t>
  </si>
  <si>
    <t xml:space="preserve">Check: bridge sum less reported (rounding only)</t>
  </si>
  <si>
    <t xml:space="preserve">ORGANIC GROWTH (company non-GAAP, excludes acquisitions, disposals and FX)</t>
  </si>
  <si>
    <t xml:space="preserve">Each quarter is taken from its own 10-Q. Segment lines follow the segment structure in that filing (legacy through Q3'25, current from Q1'26).</t>
  </si>
  <si>
    <t xml:space="preserve">Total revenue: current period</t>
  </si>
  <si>
    <t xml:space="preserve">Total revenue: prior-year base</t>
  </si>
  <si>
    <t xml:space="preserve">Total revenue: organic growth</t>
  </si>
  <si>
    <t xml:space="preserve">Equipment revenue: current period</t>
  </si>
  <si>
    <t xml:space="preserve">Equipment revenue: prior-year base</t>
  </si>
  <si>
    <t xml:space="preserve">Equipment revenue: organic growth</t>
  </si>
  <si>
    <t xml:space="preserve">Services revenue: current period</t>
  </si>
  <si>
    <t xml:space="preserve">Services revenue: prior-year base</t>
  </si>
  <si>
    <t xml:space="preserve">Services revenue: organic growth</t>
  </si>
  <si>
    <t xml:space="preserve">Power revenue: current period</t>
  </si>
  <si>
    <t xml:space="preserve">Power revenue: prior-year base</t>
  </si>
  <si>
    <t xml:space="preserve">Power revenue: organic growth</t>
  </si>
  <si>
    <t xml:space="preserve">Electrification revenue: current period</t>
  </si>
  <si>
    <t xml:space="preserve">Electrification revenue: prior-year base</t>
  </si>
  <si>
    <t xml:space="preserve">Electrification revenue: organic growth</t>
  </si>
  <si>
    <t xml:space="preserve">Wind revenue: current period</t>
  </si>
  <si>
    <t xml:space="preserve">Wind revenue: prior-year base</t>
  </si>
  <si>
    <t xml:space="preserve">Wind revenue: organic growth</t>
  </si>
  <si>
    <t xml:space="preserve">Adjusted organic EBITDA</t>
  </si>
  <si>
    <t xml:space="preserve">Adjusted organic EBITDA margin (as reported, %)</t>
  </si>
  <si>
    <t xml:space="preserve">SEGMENTS: CONTINUOUS SERIES ON THE CURRENT STRUCTURE (use this block for modelling)</t>
  </si>
  <si>
    <t xml:space="preserve">Q1'25, Q2'25, Q1'26, Q2'26 are reported on the current structure. Q1'24 to Q4'24, Q3'25 and Q4'25 were only filed on the legacy structure, so they are ESTIMATES (yellow italic): legacy figure plus the average recast difference (current less legacy) seen in Q1'25 and Q2'25.</t>
  </si>
  <si>
    <t xml:space="preserve">Basis</t>
  </si>
  <si>
    <t xml:space="preserve">Estimate</t>
  </si>
  <si>
    <t xml:space="preserve">Reported</t>
  </si>
  <si>
    <t xml:space="preserve">Segment revenue (includes intersegment sales)</t>
  </si>
  <si>
    <t xml:space="preserve">Power</t>
  </si>
  <si>
    <t xml:space="preserve">Electrification</t>
  </si>
  <si>
    <t xml:space="preserve">Wind</t>
  </si>
  <si>
    <t xml:space="preserve">Eliminations and other</t>
  </si>
  <si>
    <t xml:space="preserve">Total revenues (income statement)</t>
  </si>
  <si>
    <t xml:space="preserve">Power revenue growth, YoY</t>
  </si>
  <si>
    <t xml:space="preserve">Electrification revenue growth, YoY</t>
  </si>
  <si>
    <t xml:space="preserve">Wind revenue growth, YoY</t>
  </si>
  <si>
    <t xml:space="preserve">Segment EBITDA</t>
  </si>
  <si>
    <t xml:space="preserve">Corporate and other</t>
  </si>
  <si>
    <t xml:space="preserve">Check: segment EBITDA plus corporate less Adjusted EBITDA (rounding only)</t>
  </si>
  <si>
    <t xml:space="preserve">Power margin</t>
  </si>
  <si>
    <t xml:space="preserve">Electrification margin</t>
  </si>
  <si>
    <t xml:space="preserve">Wind margin</t>
  </si>
  <si>
    <t xml:space="preserve">SEGMENTS: LEGACY STRUCTURE (as reported through Q3'25)</t>
  </si>
  <si>
    <t xml:space="preserve">Power = Gas, Nuclear, Hydro, Steam. Electrification = Grid Solutions, Power Conversion &amp; Storage, Electrification Software. Wind = Onshore, Offshore, LM Wind Power. Q1'24 to Q3'24 are prior-year columns in the 2025 10-Qs.</t>
  </si>
  <si>
    <t xml:space="preserve">Check: segments plus eliminations less income statement revenue (rounding only)</t>
  </si>
  <si>
    <t xml:space="preserve">Adjusted EBITDA</t>
  </si>
  <si>
    <t xml:space="preserve">Adjusted EBITDA margin</t>
  </si>
  <si>
    <t xml:space="preserve">Power: revenue by type and business unit</t>
  </si>
  <si>
    <t xml:space="preserve">Equipment revenue</t>
  </si>
  <si>
    <t xml:space="preserve">Services revenue</t>
  </si>
  <si>
    <t xml:space="preserve">Gas Power</t>
  </si>
  <si>
    <t xml:space="preserve">Nuclear Power</t>
  </si>
  <si>
    <t xml:space="preserve">Hydro Power</t>
  </si>
  <si>
    <t xml:space="preserve">Steam Power</t>
  </si>
  <si>
    <t xml:space="preserve">Services as % of segment revenue</t>
  </si>
  <si>
    <t xml:space="preserve">Electrification: revenue by type and business unit</t>
  </si>
  <si>
    <t xml:space="preserve">Grid Solutions</t>
  </si>
  <si>
    <t xml:space="preserve">Power Conversion &amp; Storage</t>
  </si>
  <si>
    <t xml:space="preserve">Electrification Software</t>
  </si>
  <si>
    <t xml:space="preserve">Wind: revenue by type and business unit</t>
  </si>
  <si>
    <t xml:space="preserve">Onshore Wind</t>
  </si>
  <si>
    <t xml:space="preserve">Offshore Wind</t>
  </si>
  <si>
    <t xml:space="preserve">LM Wind Power</t>
  </si>
  <si>
    <t xml:space="preserve">SEGMENTS: CURRENT STRUCTURE (recast from Q1'26)</t>
  </si>
  <si>
    <t xml:space="preserve">Realigned in Q1'26: Steam Power folded into Nuclear/Gas, Grid Solutions split into Power Transmission and Grid Systems Integration, Grid Automation &amp; Software added, LM Wind folded into Onshore. Only Q1'25, Q2'25, Q1'26 and Q2'26 are available on this basis.</t>
  </si>
  <si>
    <t xml:space="preserve">Power Transmission</t>
  </si>
  <si>
    <t xml:space="preserve">Grid Systems Integration</t>
  </si>
  <si>
    <t xml:space="preserve">Grid Automation &amp; Software</t>
  </si>
  <si>
    <t xml:space="preserve">BACKLOG: REMAINING PERFORMANCE OBLIGATIONS (RPO), period end</t>
  </si>
  <si>
    <t xml:space="preserve">Equipment RPO is the lead indicator for turbine and grid orders. Implied orders = change in RPO plus revenue, an approximation that also moves with FX, cancellations, price changes and M&amp;A.</t>
  </si>
  <si>
    <t xml:space="preserve">Consolidated</t>
  </si>
  <si>
    <t xml:space="preserve">Equipment RPO</t>
  </si>
  <si>
    <t xml:space="preserve">Services RPO</t>
  </si>
  <si>
    <t xml:space="preserve">Total RPO</t>
  </si>
  <si>
    <t xml:space="preserve">Total RPO growth, YoY</t>
  </si>
  <si>
    <t xml:space="preserve">Equipment RPO growth, YoY</t>
  </si>
  <si>
    <t xml:space="preserve">Equipment RPO in years of annualised equipment revenue (quarter x4)</t>
  </si>
  <si>
    <t xml:space="preserve">Implied equipment orders (change in equipment RPO + equipment revenue)</t>
  </si>
  <si>
    <t xml:space="preserve">Implied services orders (change in services RPO + services revenue)</t>
  </si>
  <si>
    <t xml:space="preserve">Implied total orders</t>
  </si>
  <si>
    <t xml:space="preserve">Book-to-bill (implied total orders / revenue)</t>
  </si>
  <si>
    <t xml:space="preserve">Segment RPO, legacy structure (Mar '24 to Sep '25)</t>
  </si>
  <si>
    <t xml:space="preserve">Power: equipment RPO</t>
  </si>
  <si>
    <t xml:space="preserve">Power: services RPO</t>
  </si>
  <si>
    <t xml:space="preserve">Power: total RPO</t>
  </si>
  <si>
    <t xml:space="preserve">Power: implied orders (change in RPO + segment revenue)</t>
  </si>
  <si>
    <t xml:space="preserve">Electrification: equipment RPO</t>
  </si>
  <si>
    <t xml:space="preserve">Electrification: services RPO</t>
  </si>
  <si>
    <t xml:space="preserve">Electrification: total RPO</t>
  </si>
  <si>
    <t xml:space="preserve">Electrification: implied orders (change in RPO + segment revenue)</t>
  </si>
  <si>
    <t xml:space="preserve">Wind: equipment RPO</t>
  </si>
  <si>
    <t xml:space="preserve">Wind: services RPO</t>
  </si>
  <si>
    <t xml:space="preserve">Wind: total RPO</t>
  </si>
  <si>
    <t xml:space="preserve">Wind: implied orders (change in RPO + segment revenue)</t>
  </si>
  <si>
    <t xml:space="preserve">Segment RPO, current structure (Mar '25, Jun '25, Dec '25 onward)</t>
  </si>
  <si>
    <t xml:space="preserve">UNIT ORDERS AND DELIVERIES (three months)</t>
  </si>
  <si>
    <t xml:space="preserve">Gas turbine gigawatts is the cleanest read on Gas Power demand. Unit tables are not affected by the Q1'26 segment realignment.</t>
  </si>
  <si>
    <t xml:space="preserve">Gas turbine orders (units)</t>
  </si>
  <si>
    <t xml:space="preserve">Gas turbines, total</t>
  </si>
  <si>
    <t xml:space="preserve">Heavy-duty gas turbines</t>
  </si>
  <si>
    <t xml:space="preserve">of which HA turbines</t>
  </si>
  <si>
    <t xml:space="preserve">Aeroderivatives</t>
  </si>
  <si>
    <t xml:space="preserve">Gas turbine orders (GW)</t>
  </si>
  <si>
    <t xml:space="preserve">Gas turbine sales (units)</t>
  </si>
  <si>
    <t xml:space="preserve">Gas turbine sales (GW)</t>
  </si>
  <si>
    <t xml:space="preserve">Gas turbine book-to-bill (GW ordered / GW delivered)</t>
  </si>
  <si>
    <t xml:space="preserve">Wind orders (units)</t>
  </si>
  <si>
    <t xml:space="preserve">Wind turbines</t>
  </si>
  <si>
    <t xml:space="preserve">Repower units</t>
  </si>
  <si>
    <t xml:space="preserve">Wind turbine and repower GW</t>
  </si>
  <si>
    <t xml:space="preserve">Wind sales (units)</t>
  </si>
  <si>
    <t xml:space="preserve">CONTRACT ASSETS AND LIABILITIES (period end)</t>
  </si>
  <si>
    <t xml:space="preserve">Equipment contract liabilities are customer down payments and slot reservation deposits, the main driver of operating cash flow. Segment lines are as reported at each date, so Dec '25 onward is on the current structure.</t>
  </si>
  <si>
    <t xml:space="preserve">Current contract assets</t>
  </si>
  <si>
    <t xml:space="preserve">Contractual service agreement assets (Power)</t>
  </si>
  <si>
    <t xml:space="preserve">Equipment and other service agreement assets</t>
  </si>
  <si>
    <t xml:space="preserve">Contract liabilities and current deferred income</t>
  </si>
  <si>
    <t xml:space="preserve">Contractual service agreement liabilities</t>
  </si>
  <si>
    <t xml:space="preserve">Equipment and other service agreement liabilities (customer deposits)</t>
  </si>
  <si>
    <t xml:space="preserve">Current deferred income and other</t>
  </si>
  <si>
    <t xml:space="preserve">Equipment deposits as % of equipment RPO</t>
  </si>
  <si>
    <t xml:space="preserve">Net contract position (contract assets less contract liabilities)</t>
  </si>
  <si>
    <t xml:space="preserve">Equipment and other service agreement liabilities by segment (as reported)</t>
  </si>
  <si>
    <t xml:space="preserve">Change in equipment deposits vs prior quarter-end</t>
  </si>
  <si>
    <t xml:space="preserve">CASH FLOW (discrete quarters; Q2 = 6M YTD less Q1, Q3 = 9M YTD less 6M YTD, Q4 = full year less 9M YTD)</t>
  </si>
  <si>
    <t xml:space="preserve">Depreciation and amortization of PP&amp;E</t>
  </si>
  <si>
    <t xml:space="preserve">Amortization of intangible assets</t>
  </si>
  <si>
    <t xml:space="preserve">Principal pension plans, net</t>
  </si>
  <si>
    <t xml:space="preserve">Other postretirement benefit plans, net</t>
  </si>
  <si>
    <t xml:space="preserve">Cash recovered (paid) for income taxes</t>
  </si>
  <si>
    <t xml:space="preserve">Change in receivables (incl. related parties)</t>
  </si>
  <si>
    <t xml:space="preserve">Change in inventories</t>
  </si>
  <si>
    <t xml:space="preserve">Change in current contract assets</t>
  </si>
  <si>
    <t xml:space="preserve">Change in accounts payable (incl. related parties)</t>
  </si>
  <si>
    <t xml:space="preserve">Change in contract liabilities and deferred income</t>
  </si>
  <si>
    <t xml:space="preserve">All other operating activities</t>
  </si>
  <si>
    <t xml:space="preserve">Cash from operating activities</t>
  </si>
  <si>
    <t xml:space="preserve">Additions to PP&amp;E and internal-use software</t>
  </si>
  <si>
    <t xml:space="preserve">Dispositions of PP&amp;E</t>
  </si>
  <si>
    <t xml:space="preserve">Purchases of / contributions to equity method investments</t>
  </si>
  <si>
    <t xml:space="preserve">Sales of / distributions from equity method investments</t>
  </si>
  <si>
    <t xml:space="preserve">Proceeds from principal business dispositions</t>
  </si>
  <si>
    <t xml:space="preserve">Business acquisitions and all other investing</t>
  </si>
  <si>
    <t xml:space="preserve">Cash from (used for) investing activities</t>
  </si>
  <si>
    <t xml:space="preserve">Newly issued debt (&gt;90 days)</t>
  </si>
  <si>
    <t xml:space="preserve">Net change in short-term borrowings</t>
  </si>
  <si>
    <t xml:space="preserve">Transfers from (to) Parent</t>
  </si>
  <si>
    <t xml:space="preserve">Dividends paid</t>
  </si>
  <si>
    <t xml:space="preserve">Purchases of common stock for treasury</t>
  </si>
  <si>
    <t xml:space="preserve">All other financing activities</t>
  </si>
  <si>
    <t xml:space="preserve">Cash from (used for) financing activities</t>
  </si>
  <si>
    <t xml:space="preserve">Effect of currency exchange rate changes</t>
  </si>
  <si>
    <t xml:space="preserve">Net change in cash, cash equivalents and restricted cash</t>
  </si>
  <si>
    <t xml:space="preserve">Free cash flow (company definition: cash from operations less gross additions to PP&amp;E and software)</t>
  </si>
  <si>
    <t xml:space="preserve">FCF margin (% of revenue)</t>
  </si>
  <si>
    <t xml:space="preserve">FCF conversion (% of net income attributable to GE Vernova)</t>
  </si>
  <si>
    <t xml:space="preserve">FCF conversion (% of Adjusted EBITDA)</t>
  </si>
  <si>
    <t xml:space="preserve">Capital returned (dividends + buybacks)</t>
  </si>
  <si>
    <t xml:space="preserve">BALANCE SHEET (period end)</t>
  </si>
  <si>
    <t xml:space="preserve">Source</t>
  </si>
  <si>
    <t xml:space="preserve">1Q24 10-Q</t>
  </si>
  <si>
    <t xml:space="preserve">2Q24 10-Q</t>
  </si>
  <si>
    <t xml:space="preserve">3Q24 10-Q</t>
  </si>
  <si>
    <t xml:space="preserve">Cash, cash equivalents and restricted cash</t>
  </si>
  <si>
    <t xml:space="preserve">Current receivables, net (incl. due from related parties)</t>
  </si>
  <si>
    <t xml:space="preserve">Inventories, including deferred inventory costs</t>
  </si>
  <si>
    <t xml:space="preserve">All other current assets</t>
  </si>
  <si>
    <t xml:space="preserve">Assets held for sale</t>
  </si>
  <si>
    <t xml:space="preserve">Current assets</t>
  </si>
  <si>
    <t xml:space="preserve">Property, plant and equipment, net</t>
  </si>
  <si>
    <t xml:space="preserve">Goodwill</t>
  </si>
  <si>
    <t xml:space="preserve">Intangible assets, net</t>
  </si>
  <si>
    <t xml:space="preserve">Contract and other deferred assets</t>
  </si>
  <si>
    <t xml:space="preserve">Equity method investments</t>
  </si>
  <si>
    <t xml:space="preserve">Deferred income taxes (asset)</t>
  </si>
  <si>
    <t xml:space="preserve">All other assets</t>
  </si>
  <si>
    <t xml:space="preserve">Total assets</t>
  </si>
  <si>
    <t xml:space="preserve">Accounts payable and equipment project payables (incl. related parties)</t>
  </si>
  <si>
    <t xml:space="preserve">Contract liabilities and deferred income</t>
  </si>
  <si>
    <t xml:space="preserve">All other current liabilities</t>
  </si>
  <si>
    <t xml:space="preserve">Liabilities held for sale</t>
  </si>
  <si>
    <t xml:space="preserve">Current liabilities</t>
  </si>
  <si>
    <t xml:space="preserve">Long-term borrowings</t>
  </si>
  <si>
    <t xml:space="preserve">Deferred income taxes (liability)</t>
  </si>
  <si>
    <t xml:space="preserve">Non-current compensation and benefits</t>
  </si>
  <si>
    <t xml:space="preserve">All other liabilities</t>
  </si>
  <si>
    <t xml:space="preserve">Total liabilities</t>
  </si>
  <si>
    <t xml:space="preserve">Common stock</t>
  </si>
  <si>
    <t xml:space="preserve">Additional paid-in capital</t>
  </si>
  <si>
    <t xml:space="preserve">Retained earnings</t>
  </si>
  <si>
    <t xml:space="preserve">Net parent investment</t>
  </si>
  <si>
    <t xml:space="preserve">Treasury common stock</t>
  </si>
  <si>
    <t xml:space="preserve">Accumulated other comprehensive income (loss)</t>
  </si>
  <si>
    <t xml:space="preserve">Total equity attributable to GE Vernova</t>
  </si>
  <si>
    <t xml:space="preserve">Noncontrolling interests</t>
  </si>
  <si>
    <t xml:space="preserve">Total equity</t>
  </si>
  <si>
    <t xml:space="preserve">Total liabilities and equity</t>
  </si>
  <si>
    <t xml:space="preserve">BALANCE SHEET METRICS</t>
  </si>
  <si>
    <t xml:space="preserve">Net cash (cash less long-term borrowings)</t>
  </si>
  <si>
    <t xml:space="preserve">Current ratio</t>
  </si>
  <si>
    <t xml:space="preserve">Shares outstanding at period end (mm)</t>
  </si>
  <si>
    <t xml:space="preserve">Change in shares outstanding vs prior quarter-end (mm)</t>
  </si>
  <si>
    <t xml:space="preserve">Check: assets less liabilities and equity (should be 0)</t>
  </si>
  <si>
    <t xml:space="preserve">BACKUP: CASH FLOW AS REPORTED, YEAR-TO-DATE (Q1 = 3 months, Q2 = 6 months, Q3 = 9 months, Q4 = full year from the 10-K)</t>
  </si>
  <si>
    <t xml:space="preserve">BACKUP: FULL-YEAR FIGURES FROM THE 10-Ks (FY2024 in the Q4'24 column, FY2025 in the Q4'25 column)</t>
  </si>
  <si>
    <t xml:space="preserve">Source: FY2025 Form 10-K (both years, current presentation); FY2024 Form 10-K agrees. Q4 = full year less the first three quarters. Segment figures are on the legacy structure used in the FY2025 10-K.</t>
  </si>
  <si>
    <t xml:space="preserve">Income statement, full year</t>
  </si>
  <si>
    <t xml:space="preserve">SG&amp;A</t>
  </si>
  <si>
    <t xml:space="preserve">R&amp;D</t>
  </si>
  <si>
    <t xml:space="preserve">Operating income</t>
  </si>
  <si>
    <t xml:space="preserve">Income before income taxes</t>
  </si>
  <si>
    <t xml:space="preserve">Net income</t>
  </si>
  <si>
    <t xml:space="preserve">Net loss (income) attributable to NCI</t>
  </si>
  <si>
    <t xml:space="preserve">Net income attributable to GE Vernova</t>
  </si>
  <si>
    <t xml:space="preserve">Segments (legacy structure), full year</t>
  </si>
  <si>
    <t xml:space="preserve">revenue power</t>
  </si>
  <si>
    <t xml:space="preserve">revenue elec</t>
  </si>
  <si>
    <t xml:space="preserve">revenue wind</t>
  </si>
  <si>
    <t xml:space="preserve">revenue elim</t>
  </si>
  <si>
    <t xml:space="preserve">revenue total</t>
  </si>
  <si>
    <t xml:space="preserve">EBITDA power</t>
  </si>
  <si>
    <t xml:space="preserve">EBITDA elec</t>
  </si>
  <si>
    <t xml:space="preserve">EBITDA wind</t>
  </si>
  <si>
    <t xml:space="preserve">EBITDA corp</t>
  </si>
  <si>
    <t xml:space="preserve">EBITDA adj</t>
  </si>
  <si>
    <t xml:space="preserve">equipment revenue power</t>
  </si>
  <si>
    <t xml:space="preserve">services revenue power</t>
  </si>
  <si>
    <t xml:space="preserve">equipment revenue elec</t>
  </si>
  <si>
    <t xml:space="preserve">services revenue elec</t>
  </si>
  <si>
    <t xml:space="preserve">equipment revenue wind</t>
  </si>
  <si>
    <t xml:space="preserve">services revenue wind</t>
  </si>
  <si>
    <t xml:space="preserve">power: Gas Power</t>
  </si>
  <si>
    <t xml:space="preserve">power: Nuclear Power</t>
  </si>
  <si>
    <t xml:space="preserve">power: Hydro Power</t>
  </si>
  <si>
    <t xml:space="preserve">power: Steam Power</t>
  </si>
  <si>
    <t xml:space="preserve">elec: Grid Solutions</t>
  </si>
  <si>
    <t xml:space="preserve">elec: Power Conversion &amp; Storage</t>
  </si>
  <si>
    <t xml:space="preserve">elec: Electrification Software</t>
  </si>
  <si>
    <t xml:space="preserve">wind: Onshore Wind</t>
  </si>
  <si>
    <t xml:space="preserve">wind: Offshore Wind</t>
  </si>
  <si>
    <t xml:space="preserve">wind: LM Wind Power</t>
  </si>
  <si>
    <t xml:space="preserve">Adjusted EBITDA bridge, full year</t>
  </si>
  <si>
    <t xml:space="preserve">restr</t>
  </si>
  <si>
    <t xml:space="preserve">gains</t>
  </si>
  <si>
    <t xml:space="preserve">sep</t>
  </si>
  <si>
    <t xml:space="preserve">arb</t>
  </si>
  <si>
    <t xml:space="preserve">nonop</t>
  </si>
  <si>
    <t xml:space="preserve">da</t>
  </si>
  <si>
    <t xml:space="preserve">int</t>
  </si>
  <si>
    <t xml:space="preserve">tax</t>
  </si>
  <si>
    <t xml:space="preserve">adj</t>
  </si>
  <si>
    <t xml:space="preserve">Unit orders and sales, full year</t>
  </si>
  <si>
    <t xml:space="preserve">go|Gas Turbines</t>
  </si>
  <si>
    <t xml:space="preserve">go|Heavy-Duty Gas Turbines</t>
  </si>
  <si>
    <t xml:space="preserve">go|HA-Turbines</t>
  </si>
  <si>
    <t xml:space="preserve">go|Aeroderivatives</t>
  </si>
  <si>
    <t xml:space="preserve">go|Gas Turbine Gigawatts</t>
  </si>
  <si>
    <t xml:space="preserve">gs|Gas Turbines</t>
  </si>
  <si>
    <t xml:space="preserve">gs|Heavy-Duty Gas Turbines</t>
  </si>
  <si>
    <t xml:space="preserve">gs|HA-Turbines</t>
  </si>
  <si>
    <t xml:space="preserve">gs|Aeroderivatives</t>
  </si>
  <si>
    <t xml:space="preserve">gs|Gas Turbine Gigawatts</t>
  </si>
  <si>
    <t xml:space="preserve">wo|Wind Turbines</t>
  </si>
  <si>
    <t xml:space="preserve">wo|Repower Units</t>
  </si>
  <si>
    <t xml:space="preserve">wo|Wind Turbine and Repower Units Gigawatts</t>
  </si>
  <si>
    <t xml:space="preserve">ws|Wind Turbines</t>
  </si>
  <si>
    <t xml:space="preserve">ws|Repower Units</t>
  </si>
  <si>
    <t xml:space="preserve">ws|Wind Turbine and Repower Units Gigawatts</t>
  </si>
  <si>
    <t xml:space="preserve">NOTES</t>
  </si>
  <si>
    <t xml:space="preserve">1. Files used: eight 10-Qs (Q1'24, Q2'24, Q3'24, Q1'25, Q2'25, Q3'25, Q1'26, Q2'26) and the earlier EDGAR statement spreadsheets. No 10-K was provided.</t>
  </si>
  <si>
    <t xml:space="preserve">2a. Segment estimates (yellow): the Q1'26 recast moved about $28mm a quarter of revenue into Power and about $38mm out of Electrification (stable across Q1'25 and Q2'25; Wind and Corporate unchanged), so Q1 to Q3'24 and Q3'25 are legacy figures plus that average difference. Business-unit detail cannot be recast reliably and stays grey.</t>
  </si>
  <si>
    <t xml:space="preserve">2. Q4'24 and Q4'25 are full-year figures from the FY2025 10-K less the first three quarters (formulas off the full-year backup block at the bottom). Quarterly EPS is Q4 net income / derived Q4 weighted shares (4 x full-year average less Q1 to Q3), so it can differ by a cent from a reported figure. Q4 working-capital cash flow lines depend on the 10-K line definitions and should be read with cash from operations. Still grey: organic growth for Q4 (not additive) and the current-structure segment block for Q1'24 to Q4'24, Q3'25 and Q4'25 (not filed; see the estimates in the continuous block). Dec 31 backlog, contract balances, balance sheet and share count come from the Q1 10-Qs and the 10-Ks.</t>
  </si>
  <si>
    <t xml:space="preserve">3. Where a quarter is reported twice (original filing and later comparative) the later one is used. Income statement lines were identical; 2024 cash flow lines were re-presented in later filings and the newer layout is used.</t>
  </si>
  <si>
    <t xml:space="preserve">4. Segment realignment in Q1'26: legacy and current structures are shown separately. Q1'25 and Q2'25 appear in both so the effect of the recast is visible (for example Q2'25 Electrification revenue 2,201 legacy vs 2,162 current). Total revenue and Adjusted EBITDA are unchanged by the recast.</t>
  </si>
  <si>
    <t xml:space="preserve">5. Segment revenue includes intersegment sales; margins use that figure, as the company does. Eliminations and other bridge to consolidated revenue.</t>
  </si>
  <si>
    <t xml:space="preserve">6. Implied orders = change in RPO + revenue. It is an approximation. Known distortions: Q2'24 Power RPO fell about $3.9bn on the sale of part of Steam Power nuclear activities to EDF; Q1'26 RPO includes the Prolec GE acquisition (consolidated from Q1'26), which inflates Electrification and total implied orders.</t>
  </si>
  <si>
    <t xml:space="preserve">7. Q1'26 net income includes a $3,992mm pre-tax gain on remeasuring the prior Prolec GE stake and a $330mm gain on the Proficy sale. The pre-tax income excl. other income row and Adjusted EBITDA strip these out.</t>
  </si>
  <si>
    <t xml:space="preserve">8. Adjusted EBITDA, Adjusted organic EBITDA, organic growth and free cash flow are company-defined non-GAAP measures taken from the 10-Q reconciliations. Free cash flow is cash from operations less gross additions to PP&amp;E and internal-use software.</t>
  </si>
  <si>
    <t xml:space="preserve">9. Cash flow statements are cumulative in the 10-Qs. Discrete quarters here are formulas off the year-to-date block at the bottom. Receivables and payables include related-party balances and acquisitions are combined with other investing so the series is consistent across the 2024 and later layouts.</t>
  </si>
  <si>
    <t xml:space="preserve">10. Q1'24 and Q2'24 are carve-out 'combined' results (spin-off completed April 2, 2024). Q1'24 EPS and share counts come from the Q1'25 10-Q. Share count at Mar 31, 2024 is not reported. Subtotals are as reported and can differ from the sum of the lines by $1 to 3mm from rounding.</t>
  </si>
  <si>
    <t xml:space="preserve">11. Q3'24 balance sheet (Sep 30, 2024) is typed from the Q3'24 10-Q. Q3'24 D&amp;A of PP&amp;E in the cash flow (336) includes charges excluded from Adjusted EBITDA D&amp;A (289 total), so use the bridge for EBITDA work.</t>
  </si>
  <si>
    <t xml:space="preserve">GEV Revenue Segmentation</t>
  </si>
  <si>
    <t xml:space="preserve">We assume that the percent of segmentation is delegated uniformaly throughout the annualized year. </t>
  </si>
  <si>
    <t xml:space="preserve">Historical</t>
  </si>
  <si>
    <t xml:space="preserve">Projected</t>
  </si>
  <si>
    <t xml:space="preserve">Q3'26</t>
  </si>
  <si>
    <t xml:space="preserve">Q4'26</t>
  </si>
  <si>
    <t xml:space="preserve">Segment basis</t>
  </si>
  <si>
    <t xml:space="preserve">Legacy</t>
  </si>
  <si>
    <t xml:space="preserve">Current</t>
  </si>
  <si>
    <t xml:space="preserve">Segment Revenue Summary (US$ millions)</t>
  </si>
  <si>
    <t xml:space="preserve">Check: total less income statement revenue (rounding only)</t>
  </si>
  <si>
    <t xml:space="preserve">Revenue growth, YoY (%)</t>
  </si>
  <si>
    <t xml:space="preserve">Ending RPO (US$ millions)</t>
  </si>
  <si>
    <t xml:space="preserve">Eliminations and other (derived)</t>
  </si>
  <si>
    <t xml:space="preserve">Total RPO (consolidated, as reported)</t>
  </si>
  <si>
    <t xml:space="preserve">Equipment RPO (consolidated)</t>
  </si>
  <si>
    <t xml:space="preserve">Services RPO (consolidated)</t>
  </si>
  <si>
    <t xml:space="preserve">Segment Revenue Build: RPO Roll-Forward (US$ millions)</t>
  </si>
  <si>
    <t xml:space="preserve">Beginning RPO:</t>
  </si>
  <si>
    <t xml:space="preserve">(+/-) Segment realignment</t>
  </si>
  <si>
    <t xml:space="preserve">(+) Orders (implied)</t>
  </si>
  <si>
    <t xml:space="preserve">(-) Revenue</t>
  </si>
  <si>
    <t xml:space="preserve">(%) of RPO conversion</t>
  </si>
  <si>
    <t xml:space="preserve">Ending Backlog</t>
  </si>
  <si>
    <t xml:space="preserve">Equipment</t>
  </si>
  <si>
    <t xml:space="preserve">Services</t>
  </si>
  <si>
    <t xml:space="preserve">Memo</t>
  </si>
  <si>
    <t xml:space="preserve">Book-to-bill, total (x)</t>
  </si>
  <si>
    <t xml:space="preserve">Book-to-bill, equipment (x)</t>
  </si>
  <si>
    <t xml:space="preserve">Backlog growth, YoY (%)</t>
  </si>
  <si>
    <t xml:space="preserve">RPO coverage (years of annualised revenue)</t>
  </si>
  <si>
    <t xml:space="preserve">Checks</t>
  </si>
  <si>
    <t xml:space="preserve">Ending RPO less reported (should be 0)</t>
  </si>
  <si>
    <t xml:space="preserve">Equipment + services less total RPO (rounding only)</t>
  </si>
  <si>
    <t xml:space="preserve">Equipment + services less total revenue (rounding only)</t>
  </si>
  <si>
    <t xml:space="preserve">*Backlog keeps </t>
  </si>
  <si>
    <t xml:space="preserve">Notes</t>
  </si>
  <si>
    <t xml:space="preserve">1. Segment revenue and RPO are on the legacy segment structure through Q4'25 and the current structure from Q1'26 (see Segment basis row). The realignment row restates Dec-25 RPO to the current structure so that ending RPO ties to the 10-Q in every quarter.</t>
  </si>
  <si>
    <t xml:space="preserve">2. Orders are implied: change in RPO plus revenue. They also move with FX, cancellations, price and M&amp;A. Known distortions: Power Q2'24 (sale of part of the Steam Power nuclear activities to EDF, RPO down about $3.9bn) and Electrification Q1'26 (Prolec GE consolidated, about $5bn of acquired backlog). Both are flagged with cell comments and left unadjusted.</t>
  </si>
  <si>
    <t xml:space="preserve">3. Q1'26 and Q2'26 growth rates are measured against the recast Q1'25 and Q2'25 on the current structure. Electrification growth in those quarters includes acquired Prolec GE revenue (nearly $0.9bn in Q2'26 per the earnings call), so it is not organic.</t>
  </si>
  <si>
    <t xml:space="preserve">4. Equipment and services RPO and revenue are as reported by segment. They can differ from the segment totals by $1 to 3mm from rounding in the filings.</t>
  </si>
  <si>
    <t xml:space="preserve">5. Segment RPO sums to slightly more than consolidated RPO because of intersegment eliminations, shown as a derived row in the summary. Consolidated RPO, equipment RPO and services RPO link to the reported figures ($176.3bn, $87.8bn and $88.5bn at Jun 30, 2026).</t>
  </si>
  <si>
    <t xml:space="preserve">6. Conversion here is revenue divided by opening RPO, so it includes revenue from orders booked and delivered in the same quarter. It is not like for like with the 10-Q disclosure of how much existing RPO is expected to convert within 12 months.</t>
  </si>
  <si>
    <t xml:space="preserve">7. Sources: 'GEV Quarterly' tab (10-Q segment notes and RPO disclosures). All figures link to that tab.</t>
  </si>
  <si>
    <t xml:space="preserve">Capital Expenditures</t>
  </si>
  <si>
    <t xml:space="preserve">GE Vernova (GEV)</t>
  </si>
  <si>
    <t xml:space="preserve">Revenue build, quarterly</t>
  </si>
  <si>
    <t xml:space="preserve">US$ millions unless stated. Blue = input, black = formula, orange = assumption, grey = projection. Annual columns add up the quarters.</t>
  </si>
  <si>
    <t xml:space="preserve">Scenario</t>
  </si>
  <si>
    <t xml:space="preserve">Change on 'Key Drivers'</t>
  </si>
  <si>
    <t xml:space="preserve">Annual: historical</t>
  </si>
  <si>
    <t xml:space="preserve">Annual: projected</t>
  </si>
  <si>
    <t xml:space="preserve">Quarterly: historical</t>
  </si>
  <si>
    <t xml:space="preserve">Quarterly: projected</t>
  </si>
  <si>
    <t xml:space="preserve">Fiscal period</t>
  </si>
  <si>
    <t xml:space="preserve">Unit</t>
  </si>
  <si>
    <t xml:space="preserve">Note</t>
  </si>
  <si>
    <t xml:space="preserve">FY2024A</t>
  </si>
  <si>
    <t xml:space="preserve">FY2025A</t>
  </si>
  <si>
    <t xml:space="preserve">FY2026E</t>
  </si>
  <si>
    <t xml:space="preserve">FY2027E</t>
  </si>
  <si>
    <t xml:space="preserve">FY2028E</t>
  </si>
  <si>
    <t xml:space="preserve">FY2029E</t>
  </si>
  <si>
    <t xml:space="preserve">FY2030E</t>
  </si>
  <si>
    <t xml:space="preserve">Q1'27</t>
  </si>
  <si>
    <t xml:space="preserve">Q2'27</t>
  </si>
  <si>
    <t xml:space="preserve">Q3'27</t>
  </si>
  <si>
    <t xml:space="preserve">Q4'27</t>
  </si>
  <si>
    <t xml:space="preserve">Q1'28</t>
  </si>
  <si>
    <t xml:space="preserve">Q2'28</t>
  </si>
  <si>
    <t xml:space="preserve">Q3'28</t>
  </si>
  <si>
    <t xml:space="preserve">Q4'28</t>
  </si>
  <si>
    <t xml:space="preserve">Q1'29</t>
  </si>
  <si>
    <t xml:space="preserve">Q2'29</t>
  </si>
  <si>
    <t xml:space="preserve">Q3'29</t>
  </si>
  <si>
    <t xml:space="preserve">Q4'29</t>
  </si>
  <si>
    <t xml:space="preserve">Q1'30</t>
  </si>
  <si>
    <t xml:space="preserve">Q2'30</t>
  </si>
  <si>
    <t xml:space="preserve">Q3'30</t>
  </si>
  <si>
    <t xml:space="preserve">Q4'30</t>
  </si>
  <si>
    <t xml:space="preserve">Revenue summary</t>
  </si>
  <si>
    <t xml:space="preserve">Power: equipment (gas turbine led)</t>
  </si>
  <si>
    <t xml:space="preserve">Gas GW shipped x revenue per GW</t>
  </si>
  <si>
    <t xml:space="preserve">Power: services</t>
  </si>
  <si>
    <t xml:space="preserve">Installed-base growth</t>
  </si>
  <si>
    <t xml:space="preserve">Electrification: equipment</t>
  </si>
  <si>
    <t xml:space="preserve">Backlog conversion; data-centre orders</t>
  </si>
  <si>
    <t xml:space="preserve">Electrification: services</t>
  </si>
  <si>
    <t xml:space="preserve">Wind: equipment</t>
  </si>
  <si>
    <t xml:space="preserve">GW shipped x revenue per GW</t>
  </si>
  <si>
    <t xml:space="preserve">Wind: services</t>
  </si>
  <si>
    <t xml:space="preserve">Growth, YoY</t>
  </si>
  <si>
    <t xml:space="preserve">Check vs reported revenue (rounding)</t>
  </si>
  <si>
    <t xml:space="preserve">Actual quarters only</t>
  </si>
  <si>
    <t xml:space="preserve">Power growth, YoY</t>
  </si>
  <si>
    <t xml:space="preserve">Electrification growth, YoY</t>
  </si>
  <si>
    <t xml:space="preserve">Wind growth, YoY</t>
  </si>
  <si>
    <t xml:space="preserve">Equipment as % of revenue</t>
  </si>
  <si>
    <t xml:space="preserve">Data-centre-exposed equipment, % of revenue</t>
  </si>
  <si>
    <t xml:space="preserve">1. Data-centre demand</t>
  </si>
  <si>
    <t xml:space="preserve">Microsoft</t>
  </si>
  <si>
    <t xml:space="preserve">$B</t>
  </si>
  <si>
    <t xml:space="preserve">Calendar-year capex; FY26E per Jul-26 guide</t>
  </si>
  <si>
    <t xml:space="preserve">Amazon</t>
  </si>
  <si>
    <t xml:space="preserve">Annual driver; orders phased by quarter</t>
  </si>
  <si>
    <t xml:space="preserve">Alphabet</t>
  </si>
  <si>
    <t xml:space="preserve">Meta</t>
  </si>
  <si>
    <t xml:space="preserve">Hyperscaler capex, big four</t>
  </si>
  <si>
    <t xml:space="preserve">FY27E+ = prior year x (1 + scenario growth)</t>
  </si>
  <si>
    <t xml:space="preserve">Gas Power equipment revenue as % of hyperscaler capex</t>
  </si>
  <si>
    <t xml:space="preserve">Electrification equipment, % of hyperscaler capex</t>
  </si>
  <si>
    <t xml:space="preserve">Data-centre-exposed equipment, % of capex</t>
  </si>
  <si>
    <t xml:space="preserve">Falls when capex outgrows what GEV can build</t>
  </si>
  <si>
    <t xml:space="preserve">2. Power: gas turbines</t>
  </si>
  <si>
    <t xml:space="preserve">Slot reservation agreements (SRAs), not in RPO</t>
  </si>
  <si>
    <t xml:space="preserve">Opening SRAs</t>
  </si>
  <si>
    <t xml:space="preserve">GW</t>
  </si>
  <si>
    <t xml:space="preserve">(+) New reservations signed</t>
  </si>
  <si>
    <t xml:space="preserve">Q1-Q2'26 derived from closing balance</t>
  </si>
  <si>
    <t xml:space="preserve">(-) Converted to firm orders</t>
  </si>
  <si>
    <t xml:space="preserve">(-) Lapsed or cancelled</t>
  </si>
  <si>
    <t xml:space="preserve">Closing SRAs</t>
  </si>
  <si>
    <t xml:space="preserve">Dec-25 43, Mar-26 56, Jun-26 63 GW</t>
  </si>
  <si>
    <t xml:space="preserve">Firm gas backlog (in RPO)</t>
  </si>
  <si>
    <t xml:space="preserve">Opening firm backlog</t>
  </si>
  <si>
    <t xml:space="preserve">(+) Orders from SRA conversions</t>
  </si>
  <si>
    <t xml:space="preserve">(+) Direct firm orders</t>
  </si>
  <si>
    <t xml:space="preserve">Q2'26: 2 GW (company). Q1'26: estimate</t>
  </si>
  <si>
    <t xml:space="preserve">Gas turbine orders, total</t>
  </si>
  <si>
    <t xml:space="preserve">Actuals: GEV Quarterly row 256</t>
  </si>
  <si>
    <t xml:space="preserve">(-) Cancelled or deferred out</t>
  </si>
  <si>
    <t xml:space="preserve">Actuals: reconciling item</t>
  </si>
  <si>
    <t xml:space="preserve">(-) Shipments</t>
  </si>
  <si>
    <t xml:space="preserve">Forecast: MIN(capacity x ship %, backlog)</t>
  </si>
  <si>
    <t xml:space="preserve">Closing firm backlog</t>
  </si>
  <si>
    <t xml:space="preserve">Dec-25 40, Mar-26 44, Jun-26 53 GW</t>
  </si>
  <si>
    <t xml:space="preserve">Factory capacity</t>
  </si>
  <si>
    <t xml:space="preserve">Fixed plan (Key Drivers). FY26E = H2 only</t>
  </si>
  <si>
    <t xml:space="preserve">Shipments as % of capacity</t>
  </si>
  <si>
    <t xml:space="preserve">Book-to-bill (GW ordered / GW shipped)</t>
  </si>
  <si>
    <t xml:space="preserve">x</t>
  </si>
  <si>
    <t xml:space="preserve">Firm backlog + SRAs</t>
  </si>
  <si>
    <t xml:space="preserve">Company target: at least 125 GW by YE26</t>
  </si>
  <si>
    <t xml:space="preserve">Firm backlog in years of shipments</t>
  </si>
  <si>
    <t xml:space="preserve">yrs</t>
  </si>
  <si>
    <t xml:space="preserve">Quarterly columns use annualised shipments</t>
  </si>
  <si>
    <t xml:space="preserve">Firm backlog + SRAs in years of shipments</t>
  </si>
  <si>
    <t xml:space="preserve">Power equipment revenue per GW shipped</t>
  </si>
  <si>
    <t xml:space="preserve">$mm/GW</t>
  </si>
  <si>
    <t xml:space="preserve">Quarterly actuals are noisy</t>
  </si>
  <si>
    <t xml:space="preserve">Power equipment revenue</t>
  </si>
  <si>
    <t xml:space="preserve">Power services revenue</t>
  </si>
  <si>
    <t xml:space="preserve">Power revenue less equipment</t>
  </si>
  <si>
    <t xml:space="preserve">Power services RPO (period end)</t>
  </si>
  <si>
    <t xml:space="preserve">Dec-25, Mar-26 and Jun-26 only</t>
  </si>
  <si>
    <t xml:space="preserve">3. Electrification</t>
  </si>
  <si>
    <t xml:space="preserve">Hyperscaler capex</t>
  </si>
  <si>
    <t xml:space="preserve">Annual driver</t>
  </si>
  <si>
    <t xml:space="preserve">Data-centre orders as % of capex</t>
  </si>
  <si>
    <t xml:space="preserve">Scenario driver (Key Drivers). Annual rate</t>
  </si>
  <si>
    <t xml:space="preserve">Data-centre orders, annual target (capex x rate)</t>
  </si>
  <si>
    <t xml:space="preserve">H2 = target less H1 actual</t>
  </si>
  <si>
    <t xml:space="preserve">Other equipment orders, annual target</t>
  </si>
  <si>
    <t xml:space="preserve">FY25 = implied orders less data-centre</t>
  </si>
  <si>
    <t xml:space="preserve">Data-centre orders (Electrification)</t>
  </si>
  <si>
    <t xml:space="preserve">Annual target x quarterly phasing</t>
  </si>
  <si>
    <t xml:space="preserve">Other equipment orders (grid, power conversion, other)</t>
  </si>
  <si>
    <t xml:space="preserve">Organic equipment orders</t>
  </si>
  <si>
    <t xml:space="preserve">Change in RPO + revenue - acquired</t>
  </si>
  <si>
    <t xml:space="preserve">Data-centre share of equipment orders</t>
  </si>
  <si>
    <t xml:space="preserve">Equipment backlog roll-forward</t>
  </si>
  <si>
    <t xml:space="preserve">Opening equipment backlog (RPO)</t>
  </si>
  <si>
    <t xml:space="preserve">(+) Acquired backlog (Prolec GE)</t>
  </si>
  <si>
    <t xml:space="preserve">Consolidated Q1'26; $5B per Q2'26 release</t>
  </si>
  <si>
    <t xml:space="preserve">(+) Organic equipment orders</t>
  </si>
  <si>
    <t xml:space="preserve">(-) Equipment revenue</t>
  </si>
  <si>
    <t xml:space="preserve">% of opening backlog + in-quarter orders</t>
  </si>
  <si>
    <t xml:space="preserve">Closing equipment backlog (RPO)</t>
  </si>
  <si>
    <t xml:space="preserve">Legacy basis to Q4'25, current after</t>
  </si>
  <si>
    <t xml:space="preserve">Revenue as % of opening backlog (incl. in-quarter orders)</t>
  </si>
  <si>
    <t xml:space="preserve">Quarterly per quarter; annual per year</t>
  </si>
  <si>
    <t xml:space="preserve">Closing backlog in years of revenue</t>
  </si>
  <si>
    <t xml:space="preserve">Quarterly columns use annualised revenue</t>
  </si>
  <si>
    <t xml:space="preserve">Book-to-bill (organic orders / revenue)</t>
  </si>
  <si>
    <t xml:space="preserve">Electrification services revenue</t>
  </si>
  <si>
    <t xml:space="preserve">Segment revenue less equipment</t>
  </si>
  <si>
    <t xml:space="preserve">4. Wind</t>
  </si>
  <si>
    <t xml:space="preserve">Wind turbine shipments</t>
  </si>
  <si>
    <t xml:space="preserve">Annual driver x quarterly phasing</t>
  </si>
  <si>
    <t xml:space="preserve">Equipment revenue per GW applied to projected quarters</t>
  </si>
  <si>
    <t xml:space="preserve">Prior year level x (1 + scenario growth)</t>
  </si>
  <si>
    <t xml:space="preserve">Equipment revenue per GW</t>
  </si>
  <si>
    <t xml:space="preserve">Wind equipment revenue</t>
  </si>
  <si>
    <t xml:space="preserve">Wind services revenue</t>
  </si>
  <si>
    <t xml:space="preserve">5. Old orders vs new orders</t>
  </si>
  <si>
    <t xml:space="preserve">Gas shipments by order vintage (oldest slots ship first)</t>
  </si>
  <si>
    <t xml:space="preserve">Tier 1: Dec-25 firm backlog, already in RPO</t>
  </si>
  <si>
    <t xml:space="preserve">Undelivered, start of period</t>
  </si>
  <si>
    <t xml:space="preserve">(-) Delivered in period</t>
  </si>
  <si>
    <t xml:space="preserve">Undelivered, end of period</t>
  </si>
  <si>
    <t xml:space="preserve">Tier 2: Dec-25 slot reservations (outside RPO)</t>
  </si>
  <si>
    <t xml:space="preserve">Dec-25 SRAs not yet converted, start of period</t>
  </si>
  <si>
    <t xml:space="preserve">Oldest reservations convert first</t>
  </si>
  <si>
    <t xml:space="preserve">Dec-25 SRAs not yet converted, end of period</t>
  </si>
  <si>
    <t xml:space="preserve">Firm backlog from these conversions, start of period</t>
  </si>
  <si>
    <t xml:space="preserve">Firm backlog from these conversions, end of period</t>
  </si>
  <si>
    <t xml:space="preserve">Opening + converted - delivered</t>
  </si>
  <si>
    <t xml:space="preserve">Tier 3: delivered from post-Dec-25 bookings</t>
  </si>
  <si>
    <t xml:space="preserve">Share of shipments: tier 1 (Dec-25 RPO)</t>
  </si>
  <si>
    <t xml:space="preserve">Share of shipments: tier 2 (Dec-25 SRAs converting)</t>
  </si>
  <si>
    <t xml:space="preserve">Share of shipments: tier 3 (booked after Dec-25)</t>
  </si>
  <si>
    <t xml:space="preserve">Electrification equipment by order vintage</t>
  </si>
  <si>
    <t xml:space="preserve">Dec-25 backlog still undelivered, opening</t>
  </si>
  <si>
    <t xml:space="preserve">(-) Revenue delivered from Dec-25 backlog</t>
  </si>
  <si>
    <t xml:space="preserve">H1'26 revenue all from Dec-25 backlog</t>
  </si>
  <si>
    <t xml:space="preserve">Dec-25 backlog still undelivered, end of period</t>
  </si>
  <si>
    <t xml:space="preserve">Revenue from orders booked after Dec-25</t>
  </si>
  <si>
    <t xml:space="preserve">Share of equipment revenue from Dec-25 backlog</t>
  </si>
  <si>
    <t xml:space="preserve">Revenue by dependence on the build-out</t>
  </si>
  <si>
    <t xml:space="preserve">Power equipment from Dec-25 firm backlog</t>
  </si>
  <si>
    <t xml:space="preserve">Electrification equipment from Dec-25 backlog</t>
  </si>
  <si>
    <t xml:space="preserve">Backed by Dec-25 RPO (data-centre-exposed equipment)</t>
  </si>
  <si>
    <t xml:space="preserve">Power equipment that needs Dec-25 SRAs to convert</t>
  </si>
  <si>
    <t xml:space="preserve">Outside RPO; deposits paid, orders not firm</t>
  </si>
  <si>
    <t xml:space="preserve">Power equipment from post-Dec-25 bookings</t>
  </si>
  <si>
    <t xml:space="preserve">Needs new reservations</t>
  </si>
  <si>
    <t xml:space="preserve">Electrification equipment from orders booked after Dec-25</t>
  </si>
  <si>
    <t xml:space="preserve">Needs new data-centre and grid orders</t>
  </si>
  <si>
    <t xml:space="preserve">Needs conversions or bookings that have not happened yet</t>
  </si>
  <si>
    <t xml:space="preserve">Services (installed base)</t>
  </si>
  <si>
    <t xml:space="preserve">Wind (not data-centre linked)</t>
  </si>
  <si>
    <t xml:space="preserve">Services, Wind and eliminations</t>
  </si>
  <si>
    <t xml:space="preserve">Share of revenue backed by Dec-25 RPO equipment</t>
  </si>
  <si>
    <t xml:space="preserve">Share of revenue from services, Wind and eliminations</t>
  </si>
  <si>
    <t xml:space="preserve">Share of revenue that needs Dec-25 SRAs to convert</t>
  </si>
  <si>
    <t xml:space="preserve">Revenue needing bookings not yet made, %</t>
  </si>
  <si>
    <t xml:space="preserve">Check: less summary total (should be zero)</t>
  </si>
  <si>
    <t xml:space="preserve">6. Checks</t>
  </si>
  <si>
    <t xml:space="preserve">FY26 revenue guidance, low</t>
  </si>
  <si>
    <t xml:space="preserve">Raised Jul-22-26</t>
  </si>
  <si>
    <t xml:space="preserve">FY26 revenue guidance, high</t>
  </si>
  <si>
    <t xml:space="preserve">Model FY26E total revenue versus guidance</t>
  </si>
  <si>
    <t xml:space="preserve">FY26 Electrification revenue guidance, low</t>
  </si>
  <si>
    <t xml:space="preserve">FY26 Electrification revenue guidance, high</t>
  </si>
  <si>
    <t xml:space="preserve">Model FY26E Electrification revenue versus guidance</t>
  </si>
  <si>
    <t xml:space="preserve">FY26 Power organic growth guidance, low</t>
  </si>
  <si>
    <t xml:space="preserve">FY26 Power organic growth guidance, high</t>
  </si>
  <si>
    <t xml:space="preserve">Model FY26E Power growth versus guidance (+/-1pt)</t>
  </si>
  <si>
    <t xml:space="preserve">Guide is organic; model is reported</t>
  </si>
  <si>
    <t xml:space="preserve">Q3'26 Power growth guidance, low</t>
  </si>
  <si>
    <t xml:space="preserve">Q3'26 Power growth guidance, high</t>
  </si>
  <si>
    <t xml:space="preserve">Model Q3'26E Power growth versus guidance (+/-1pt)</t>
  </si>
  <si>
    <t xml:space="preserve">FY26 Wind guide: down low double digits (low)</t>
  </si>
  <si>
    <t xml:space="preserve">FY26 Wind guide: down low double digits (high)</t>
  </si>
  <si>
    <t xml:space="preserve">Model FY26E Wind growth versus guidance (+/-2pt)</t>
  </si>
  <si>
    <t xml:space="preserve">Company target: gas firm backlog + SRAs at YE26 (at least)</t>
  </si>
  <si>
    <t xml:space="preserve">Model YE26E firm backlog + SRAs versus target</t>
  </si>
  <si>
    <t xml:space="preserve">Implied H2'26E total revenue growth versus H2'25A</t>
  </si>
  <si>
    <t xml:space="preserve">Thesis case for the selected scenario, FY2028 revenue</t>
  </si>
  <si>
    <t xml:space="preserve">Model FY2028E less thesis case</t>
  </si>
  <si>
    <t xml:space="preserve">Difference, %</t>
  </si>
  <si>
    <t xml:space="preserve">1. Annual columns add up the quarters (balances take Q4). FY2026E = Q1-Q2 actual plus Q3-Q4 projected.</t>
  </si>
  <si>
    <t xml:space="preserve">2. Services revenue = segment revenue (GEV Quarterly rows 87-89) less equipment.</t>
  </si>
  <si>
    <t xml:space="preserve">3. Capex and data-centre capture are annual drivers; quarterly orders phase the annual target (Key Drivers).</t>
  </si>
  <si>
    <t xml:space="preserve">4. Services grow off the same quarter of the prior year. Gas pricing steps up each quarter.</t>
  </si>
  <si>
    <t xml:space="preserve">5. Old-order tiers assume H1'26 gas shipments and Electrification revenue came from the Dec-25 backlog (FIFO).</t>
  </si>
  <si>
    <t xml:space="preserve">6. Estimates: Q1'26 direct gas orders (2.0 GW), Q1/Q2'26 data-centre order split ($2.3B / $2.7B), FY25 data-centre orders ($2.4B).</t>
  </si>
  <si>
    <t xml:space="preserve">Key drivers and scenario switch</t>
  </si>
  <si>
    <t xml:space="preserve">Base</t>
  </si>
  <si>
    <t xml:space="preserve">&lt;- change the scenario in the orange cell (Base / Bull / Bear)</t>
  </si>
  <si>
    <t xml:space="preserve">Hyperscaler capex growth, YoY</t>
  </si>
  <si>
    <t xml:space="preserve">FY26E = guide $732.5B; Street ~$1T FY27</t>
  </si>
  <si>
    <t xml:space="preserve">Bull</t>
  </si>
  <si>
    <t xml:space="preserve">Bear</t>
  </si>
  <si>
    <t xml:space="preserve">Data-centre orders, % of hyperscaler capex</t>
  </si>
  <si>
    <t xml:space="preserve">H1'26 &gt;$5B on ~$733B capex; annual rate</t>
  </si>
  <si>
    <t xml:space="preserve">Other Electrification equipment orders, YoY</t>
  </si>
  <si>
    <t xml:space="preserve">Grid, power conversion, other</t>
  </si>
  <si>
    <t xml:space="preserve">Electrification backlog delivered, % per quarter</t>
  </si>
  <si>
    <t xml:space="preserve">Per quarter, on opening backlog</t>
  </si>
  <si>
    <t xml:space="preserve">2. Gas Power</t>
  </si>
  <si>
    <t xml:space="preserve">New slot reservation agreements signed, per quarter</t>
  </si>
  <si>
    <t xml:space="preserve">Per quarter; Q2'26 was 18 GW</t>
  </si>
  <si>
    <t xml:space="preserve">SRAs converting to firm orders, % per quarter</t>
  </si>
  <si>
    <t xml:space="preserve">Per quarter; Q2'26 was 17.9% (10 of 56 GW)</t>
  </si>
  <si>
    <t xml:space="preserve">SRAs lapsing or cancelled, % per quarter</t>
  </si>
  <si>
    <t xml:space="preserve">Per quarter</t>
  </si>
  <si>
    <t xml:space="preserve">Direct firm orders (no prior SRA), per quarter</t>
  </si>
  <si>
    <t xml:space="preserve">Per quarter; Q2'26 was 2 GW</t>
  </si>
  <si>
    <t xml:space="preserve">Firm backlog cancelled or deferred, % per quarter</t>
  </si>
  <si>
    <t xml:space="preserve">Per quarter; hits newest slots first</t>
  </si>
  <si>
    <t xml:space="preserve">Shipments as % of factory capacity</t>
  </si>
  <si>
    <t xml:space="preserve">Bear: customers push delivery dates out.</t>
  </si>
  <si>
    <t xml:space="preserve">Power revenue per GW shipped, QoQ growth</t>
  </si>
  <si>
    <t xml:space="preserve">Per quarter; H1'26A avg $513mm/GW</t>
  </si>
  <si>
    <t xml:space="preserve">3. Services</t>
  </si>
  <si>
    <t xml:space="preserve">Power services growth, YoY</t>
  </si>
  <si>
    <t xml:space="preserve">H1'26A +5.8% YoY</t>
  </si>
  <si>
    <t xml:space="preserve">Electrification services growth, YoY</t>
  </si>
  <si>
    <t xml:space="preserve">H1'26A +3% YoY.</t>
  </si>
  <si>
    <t xml:space="preserve">Wind turbine shipments, full year</t>
  </si>
  <si>
    <t xml:space="preserve">FY25A 6.9 GW; H1'26A 2.0 GW</t>
  </si>
  <si>
    <t xml:space="preserve">Wind equipment revenue per GW, growth YoY (annual level)</t>
  </si>
  <si>
    <t xml:space="preserve">FY25A $1,051mm/GW; H1'26A $1,142mm/GW</t>
  </si>
  <si>
    <t xml:space="preserve">Wind services growth, YoY</t>
  </si>
  <si>
    <t xml:space="preserve">H1'26A +33% YoY</t>
  </si>
  <si>
    <t xml:space="preserve">5. Fixed assumptions</t>
  </si>
  <si>
    <t xml:space="preserve">Gas factory capacity per quarter</t>
  </si>
  <si>
    <t xml:space="preserve">5 GW/qtr from Q3'26; 24 GW/yr in 2028</t>
  </si>
  <si>
    <t xml:space="preserve">Orders delivered in the quarter booked, %</t>
  </si>
  <si>
    <t xml:space="preserve">Book-and-ship share of new orders</t>
  </si>
  <si>
    <t xml:space="preserve">Eliminations and other, % of segment revenue</t>
  </si>
  <si>
    <t xml:space="preserve">FY25A 1.0%; H1'26A 0.3%.</t>
  </si>
  <si>
    <t xml:space="preserve">Quarterly phasing of annual flows (share of the year)</t>
  </si>
  <si>
    <t xml:space="preserve">Q1</t>
  </si>
  <si>
    <t xml:space="preserve">Q2</t>
  </si>
  <si>
    <t xml:space="preserve">Q3</t>
  </si>
  <si>
    <t xml:space="preserve">Q4</t>
  </si>
  <si>
    <t xml:space="preserve">Total</t>
  </si>
  <si>
    <t xml:space="preserve">Electrification equipment orders</t>
  </si>
  <si>
    <t xml:space="preserve">FY25 phasing 19/20/25/35%, smoothed</t>
  </si>
  <si>
    <t xml:space="preserve">6. Margin, cash flow and exit multiple</t>
  </si>
  <si>
    <t xml:space="preserve">FY26E guide 12-14%; Street FY28E 21.6%</t>
  </si>
  <si>
    <t xml:space="preserve">Power deposits, % of Power RPO (year end)</t>
  </si>
  <si>
    <t xml:space="preserve">Dec-25 58.9%, Jun-26 65.7%</t>
  </si>
  <si>
    <t xml:space="preserve">Exit multiple at Dec-28 (EV / next-12-month EBITDA)</t>
  </si>
  <si>
    <t xml:space="preserve">Thesis: 20x base, 30x bull, 16x bear</t>
  </si>
  <si>
    <t xml:space="preserve">Fixed cash-flow assumptions (same in every scenario)</t>
  </si>
  <si>
    <t xml:space="preserve">Depreciation and amortisation, % of revenue</t>
  </si>
  <si>
    <t xml:space="preserve">H1'26A 3.7%; FY25A 2.2%</t>
  </si>
  <si>
    <t xml:space="preserve">Capital expenditures, % of revenue</t>
  </si>
  <si>
    <t xml:space="preserve">FY25A 3.4%; H1'26A 3.8%</t>
  </si>
  <si>
    <t xml:space="preserve">Working capital build, % of revenue change</t>
  </si>
  <si>
    <t xml:space="preserve">FY25A 125%; H1'26A 60%</t>
  </si>
  <si>
    <t xml:space="preserve">Pension and other cash outflows, % of revenue</t>
  </si>
  <si>
    <t xml:space="preserve">FY25A 4.7%; H1'26A 10.4%</t>
  </si>
  <si>
    <t xml:space="preserve">Cash tax rate on EBIT</t>
  </si>
  <si>
    <t xml:space="preserve">US federal, state and foreign mix</t>
  </si>
  <si>
    <t xml:space="preserve">Power equipment RPO per GW of firm gas backlog</t>
  </si>
  <si>
    <t xml:space="preserve">Jun-26 $741mm/GW; Dec-25 $618mm/GW</t>
  </si>
  <si>
    <t xml:space="preserve">Electrification customer deposits as % of equipment RPO</t>
  </si>
  <si>
    <t xml:space="preserve">Dec-25 21.1%, Jun-26 22.5%.</t>
  </si>
  <si>
    <t xml:space="preserve">Wind customer deposits as % of equipment RPO</t>
  </si>
  <si>
    <t xml:space="preserve">Dec-25 30.7%, Jun-26 38.4%.</t>
  </si>
  <si>
    <t xml:space="preserve">Wind RPO, multiple of annual Wind equipment revenue</t>
  </si>
  <si>
    <t xml:space="preserve">Dec-25 1.26x; Jun-26 1.79x</t>
  </si>
  <si>
    <t xml:space="preserve">7. Scenario snapshot (static, re-run if drivers change)</t>
  </si>
  <si>
    <t xml:space="preserve">Total revenue</t>
  </si>
  <si>
    <t xml:space="preserve">Revenue from post-Dec'25 orders, % of total</t>
  </si>
  <si>
    <t xml:space="preserve">Firm gas backlog, years of shipments</t>
  </si>
  <si>
    <t xml:space="preserve">Hyperscaler capex, $B</t>
  </si>
  <si>
    <t xml:space="preserve">Regular DCF, 6-month value per share ($)</t>
  </si>
  <si>
    <t xml:space="preserve">Thesis document, FY2028 revenue by case ($mm)</t>
  </si>
  <si>
    <t xml:space="preserve">Thesis document, 12-month value per share by case ($)</t>
  </si>
  <si>
    <t xml:space="preserve">Snapshot status</t>
  </si>
  <si>
    <t xml:space="preserve">Live model, selected scenario: total revenue</t>
  </si>
  <si>
    <t xml:space="preserve">Regular DCF: quarterly, 6-month view</t>
  </si>
  <si>
    <t xml:space="preserve">US$ millions unless stated. Blue = input, black = formula, orange = assumption, grey = projection.</t>
  </si>
  <si>
    <t xml:space="preserve">Actual</t>
  </si>
  <si>
    <t xml:space="preserve">Projected quarters</t>
  </si>
  <si>
    <t xml:space="preserve">Q1'26A</t>
  </si>
  <si>
    <t xml:space="preserve">Q2'26A</t>
  </si>
  <si>
    <t xml:space="preserve">Q3'26E</t>
  </si>
  <si>
    <t xml:space="preserve">Q4'26E</t>
  </si>
  <si>
    <t xml:space="preserve">Q1'27E</t>
  </si>
  <si>
    <t xml:space="preserve">Q2'27E</t>
  </si>
  <si>
    <t xml:space="preserve">Q3'27E</t>
  </si>
  <si>
    <t xml:space="preserve">Q4'27E</t>
  </si>
  <si>
    <t xml:space="preserve">Q1'28E</t>
  </si>
  <si>
    <t xml:space="preserve">Q2'28E</t>
  </si>
  <si>
    <t xml:space="preserve">Q3'28E</t>
  </si>
  <si>
    <t xml:space="preserve">Q4'28E</t>
  </si>
  <si>
    <t xml:space="preserve">Cash flow</t>
  </si>
  <si>
    <t xml:space="preserve">Revenue</t>
  </si>
  <si>
    <t xml:space="preserve">Revenue tab</t>
  </si>
  <si>
    <t xml:space="preserve">Revenue x margin (Key Drivers)</t>
  </si>
  <si>
    <t xml:space="preserve">Margin</t>
  </si>
  <si>
    <t xml:space="preserve">H2'26 = FY26E less H1 actual</t>
  </si>
  <si>
    <t xml:space="preserve">D&amp;A</t>
  </si>
  <si>
    <t xml:space="preserve">Adjusted EBIT</t>
  </si>
  <si>
    <t xml:space="preserve">Taxes</t>
  </si>
  <si>
    <t xml:space="preserve">NOPAT</t>
  </si>
  <si>
    <t xml:space="preserve">Add back: D&amp;A</t>
  </si>
  <si>
    <t xml:space="preserve">Capex</t>
  </si>
  <si>
    <t xml:space="preserve">Working capital</t>
  </si>
  <si>
    <t xml:space="preserve">% of revenue change</t>
  </si>
  <si>
    <t xml:space="preserve">Customer deposits</t>
  </si>
  <si>
    <t xml:space="preserve">Change in balance below</t>
  </si>
  <si>
    <t xml:space="preserve">Pension and other</t>
  </si>
  <si>
    <t xml:space="preserve">Unlevered free cash flow</t>
  </si>
  <si>
    <t xml:space="preserve">Memo: UFCF excl. deposits</t>
  </si>
  <si>
    <t xml:space="preserve">What the business earns on its own</t>
  </si>
  <si>
    <t xml:space="preserve">Discount period (years)</t>
  </si>
  <si>
    <t xml:space="preserve">Mid-quarter, from 30-Jun-26</t>
  </si>
  <si>
    <t xml:space="preserve">Discount factor</t>
  </si>
  <si>
    <t xml:space="preserve">PV of UFCF</t>
  </si>
  <si>
    <t xml:space="preserve">Firm gas backlog (GW)</t>
  </si>
  <si>
    <t xml:space="preserve">Power equipment RPO</t>
  </si>
  <si>
    <t xml:space="preserve">GW x $741mm per GW</t>
  </si>
  <si>
    <t xml:space="preserve">Electrification equipment RPO</t>
  </si>
  <si>
    <t xml:space="preserve">Revenue tab backlog</t>
  </si>
  <si>
    <t xml:space="preserve">Wind equipment RPO</t>
  </si>
  <si>
    <t xml:space="preserve">1.5x trailing Wind equipment revenue</t>
  </si>
  <si>
    <t xml:space="preserve">Total equipment RPO</t>
  </si>
  <si>
    <t xml:space="preserve">Power deposits, % of Power RPO</t>
  </si>
  <si>
    <t xml:space="preserve">Key Drivers, by quarter</t>
  </si>
  <si>
    <t xml:space="preserve">Power deposits</t>
  </si>
  <si>
    <t xml:space="preserve">Electrification deposits</t>
  </si>
  <si>
    <t xml:space="preserve">Wind deposits</t>
  </si>
  <si>
    <t xml:space="preserve">Total customer deposits</t>
  </si>
  <si>
    <t xml:space="preserve">Deposits, % of equipment RPO</t>
  </si>
  <si>
    <t xml:space="preserve">Valuation</t>
  </si>
  <si>
    <t xml:space="preserve">Inputs</t>
  </si>
  <si>
    <t xml:space="preserve">Exit multiple (EV / FY2029E EBITDA)</t>
  </si>
  <si>
    <t xml:space="preserve">Next-12-month EBITDA at Dec-28</t>
  </si>
  <si>
    <t xml:space="preserve">Company</t>
  </si>
  <si>
    <t xml:space="preserve">GE Vernova Inc.</t>
  </si>
  <si>
    <t xml:space="preserve">FY2029E EBITDA</t>
  </si>
  <si>
    <t xml:space="preserve">Ticker</t>
  </si>
  <si>
    <t xml:space="preserve">NYSE:GEV</t>
  </si>
  <si>
    <t xml:space="preserve">Exit value, Dec-28</t>
  </si>
  <si>
    <t xml:space="preserve">Price ($)</t>
  </si>
  <si>
    <t xml:space="preserve">Years from valuation date</t>
  </si>
  <si>
    <t xml:space="preserve">Price date</t>
  </si>
  <si>
    <t xml:space="preserve">Valuation date</t>
  </si>
  <si>
    <t xml:space="preserve">PV of exit value</t>
  </si>
  <si>
    <t xml:space="preserve">Shares, period end (mm)</t>
  </si>
  <si>
    <t xml:space="preserve">PV of UFCF, Q3'26 to Q4'28</t>
  </si>
  <si>
    <t xml:space="preserve">Dilution (mm)</t>
  </si>
  <si>
    <t xml:space="preserve">Enterprise value, 30-Jun-26</t>
  </si>
  <si>
    <t xml:space="preserve">Diluted shares (mm)</t>
  </si>
  <si>
    <t xml:space="preserve">Exit value % of EV</t>
  </si>
  <si>
    <t xml:space="preserve">WACC</t>
  </si>
  <si>
    <t xml:space="preserve">Cash and restricted cash</t>
  </si>
  <si>
    <t xml:space="preserve">Jun-26 balance sheet</t>
  </si>
  <si>
    <t xml:space="preserve">Cost of equity</t>
  </si>
  <si>
    <t xml:space="preserve">Exit multiple</t>
  </si>
  <si>
    <t xml:space="preserve">Market cap ($mm)</t>
  </si>
  <si>
    <t xml:space="preserve">Pension and OPEB</t>
  </si>
  <si>
    <t xml:space="preserve">Market EV ($mm)</t>
  </si>
  <si>
    <t xml:space="preserve">Equity-method investments</t>
  </si>
  <si>
    <t xml:space="preserve">Equity value, 30-Jun-26</t>
  </si>
  <si>
    <t xml:space="preserve">Value per share</t>
  </si>
  <si>
    <t xml:space="preserve">Now</t>
  </si>
  <si>
    <t xml:space="preserve">3 months</t>
  </si>
  <si>
    <t xml:space="preserve">6 months</t>
  </si>
  <si>
    <t xml:space="preserve">Date</t>
  </si>
  <si>
    <t xml:space="preserve">Roll-forward at cost of equity</t>
  </si>
  <si>
    <t xml:space="preserve">Value per share ($)</t>
  </si>
  <si>
    <t xml:space="preserve">Current price ($)</t>
  </si>
  <si>
    <t xml:space="preserve">Upside / (downside)</t>
  </si>
  <si>
    <t xml:space="preserve">Implied perpetuity growth</t>
  </si>
  <si>
    <t xml:space="preserve">EV / FY2026E EBITDA, DCF</t>
  </si>
  <si>
    <t xml:space="preserve">EV / FY2026E EBITDA, market</t>
  </si>
  <si>
    <t xml:space="preserve">EV / FY2028E EBITDA, DCF</t>
  </si>
  <si>
    <t xml:space="preserve">EV / FY2028E EBITDA, market</t>
  </si>
  <si>
    <t xml:space="preserve">6-month value per share ($): WACC vs exit multiple</t>
  </si>
  <si>
    <t xml:space="preserve">WACC (down) / multiple (across)</t>
  </si>
  <si>
    <t xml:space="preserve">FY26 EBITDA margin guide (low, high)</t>
  </si>
  <si>
    <t xml:space="preserve">FY2026E EBITDA margin</t>
  </si>
  <si>
    <t xml:space="preserve">FY26 FCF guide, $mm (low, high)</t>
  </si>
  <si>
    <t xml:space="preserve">FY2026E FCF (H1 reported + H2 UFCF)</t>
  </si>
  <si>
    <t xml:space="preserve">FY2026E FCF vs guide</t>
  </si>
  <si>
    <t xml:space="preserve">Thesis value per share, selected case ($)</t>
  </si>
  <si>
    <t xml:space="preserve">6-month DCF value vs thesis</t>
  </si>
  <si>
    <t xml:space="preserve">Reverse DCF: what the price needs, on consensus revenue</t>
  </si>
  <si>
    <t xml:space="preserve">Cash flow (consensus, with the margin solved)</t>
  </si>
  <si>
    <t xml:space="preserve">Consensus DCF</t>
  </si>
  <si>
    <t xml:space="preserve">EBITDA</t>
  </si>
  <si>
    <t xml:space="preserve">Revenue x solved margin</t>
  </si>
  <si>
    <t xml:space="preserve">H2'26 consensus, then ramp to solved</t>
  </si>
  <si>
    <t xml:space="preserve">Ramp weight</t>
  </si>
  <si>
    <t xml:space="preserve">0 = H2 26 margin, 1 = solved</t>
  </si>
  <si>
    <t xml:space="preserve">EBIT</t>
  </si>
  <si>
    <t xml:space="preserve">Tax rate</t>
  </si>
  <si>
    <t xml:space="preserve">Working capital, deposits and other</t>
  </si>
  <si>
    <t xml:space="preserve">Solve for the FY2028E margin</t>
  </si>
  <si>
    <t xml:space="preserve">Starting margin (H2'26 consensus)</t>
  </si>
  <si>
    <t xml:space="preserve">EV implied by the price, 30-Jun-26</t>
  </si>
  <si>
    <t xml:space="preserve">Price x shares, rolled back, less bridge</t>
  </si>
  <si>
    <t xml:space="preserve">UFCF if margin stays at the starting level</t>
  </si>
  <si>
    <t xml:space="preserve">PV of the above</t>
  </si>
  <si>
    <t xml:space="preserve">PV of after-tax revenue x ramp weight</t>
  </si>
  <si>
    <t xml:space="preserve">Value of one point of margin x 100</t>
  </si>
  <si>
    <t xml:space="preserve">EV with the margin held flat</t>
  </si>
  <si>
    <t xml:space="preserve">PV of flat UFCF + exit value</t>
  </si>
  <si>
    <t xml:space="preserve">Value of one unit of margin uplift</t>
  </si>
  <si>
    <t xml:space="preserve">Solved FY2028E EBITDA margin</t>
  </si>
  <si>
    <t xml:space="preserve">Value is linear in margin: no goal seek</t>
  </si>
  <si>
    <t xml:space="preserve">What the price needs</t>
  </si>
  <si>
    <t xml:space="preserve">FY2028E margin needed, at the exit multiple</t>
  </si>
  <si>
    <t xml:space="preserve">On consensus revenue</t>
  </si>
  <si>
    <t xml:space="preserve">FY2028E EBITDA needed ($mm)</t>
  </si>
  <si>
    <t xml:space="preserve">Exit multiple needed, consensus EBITDA</t>
  </si>
  <si>
    <t xml:space="preserve">Multiple of FY2029E EBITDA</t>
  </si>
  <si>
    <t xml:space="preserve">Exit multiple needed, our EBITDA</t>
  </si>
  <si>
    <t xml:space="preserve">Selected case on Key Drivers</t>
  </si>
  <si>
    <t xml:space="preserve">Market EV / FY2029E consensus EBITDA</t>
  </si>
  <si>
    <t xml:space="preserve">Consensus FY2028E margin</t>
  </si>
  <si>
    <t xml:space="preserve">Thesis base FY2028E margin</t>
  </si>
  <si>
    <t xml:space="preserve">Key Drivers</t>
  </si>
  <si>
    <t xml:space="preserve">Thesis bull FY2028E margin</t>
  </si>
  <si>
    <t xml:space="preserve">Thesis bear FY2028E margin</t>
  </si>
  <si>
    <t xml:space="preserve">Company 2028 target margin</t>
  </si>
  <si>
    <t xml:space="preserve">Dec-25 outlook: $52B revenue, 20%</t>
  </si>
  <si>
    <t xml:space="preserve">Valuation (check: value now equals the price)</t>
  </si>
  <si>
    <t xml:space="preserve">Inputs (from Regular DCF)</t>
  </si>
  <si>
    <t xml:space="preserve">Check: value now less price (should be zero)</t>
  </si>
  <si>
    <t xml:space="preserve">FY2028E margin the price needs: WACC vs exit multiple</t>
  </si>
  <si>
    <t xml:space="preserve">Consensus DCF: Street FY26-FY28, quarterly, 6-month view</t>
  </si>
  <si>
    <t xml:space="preserve">Consensus FY26-28, split by seasonality</t>
  </si>
  <si>
    <t xml:space="preserve">FY29E: assumption</t>
  </si>
  <si>
    <t xml:space="preserve">Seasonal weight</t>
  </si>
  <si>
    <t xml:space="preserve">FY25 revenue pattern</t>
  </si>
  <si>
    <t xml:space="preserve">Annual consensus, pro rata to revenue</t>
  </si>
  <si>
    <t xml:space="preserve">FY29E holds FY28E</t>
  </si>
  <si>
    <t xml:space="preserve">Consensus EBITDA less EBIT</t>
  </si>
  <si>
    <t xml:space="preserve">Consensus</t>
  </si>
  <si>
    <t xml:space="preserve">Implied by consensus FCF</t>
  </si>
  <si>
    <t xml:space="preserve">Memo: consensus free cash flow</t>
  </si>
  <si>
    <t xml:space="preserve">H1 reported; rest split evenly</t>
  </si>
  <si>
    <t xml:space="preserve">Street target ($)</t>
  </si>
  <si>
    <t xml:space="preserve">6-month DCF value vs Street target</t>
  </si>
  <si>
    <t xml:space="preserve">Exit multiple the Street target needs</t>
  </si>
  <si>
    <t xml:space="preserve">Blue = input, black = formula, orange = assumption. Peer data as of 29-Sep to 2-Oct-26 (StockAnalysis). Debt and market cap in local currency, billions.</t>
  </si>
  <si>
    <t xml:space="preserve">Beta</t>
  </si>
  <si>
    <t xml:space="preserve">Unlevered beta = levered beta / (1 + D/E x (1 - tax))</t>
  </si>
  <si>
    <t xml:space="preserve">Currency</t>
  </si>
  <si>
    <t xml:space="preserve">Levered beta</t>
  </si>
  <si>
    <t xml:space="preserve">Debt (bn)</t>
  </si>
  <si>
    <t xml:space="preserve">Market cap (bn)</t>
  </si>
  <si>
    <t xml:space="preserve">Debt / equity</t>
  </si>
  <si>
    <t xml:space="preserve">Unlevered beta</t>
  </si>
  <si>
    <t xml:space="preserve">Siemens Energy AG</t>
  </si>
  <si>
    <t xml:space="preserve">ETR:ENR</t>
  </si>
  <si>
    <t xml:space="preserve">EUR</t>
  </si>
  <si>
    <t xml:space="preserve">Mitsubishi Heavy Industries</t>
  </si>
  <si>
    <t xml:space="preserve">TYO:7011</t>
  </si>
  <si>
    <t xml:space="preserve">JPY</t>
  </si>
  <si>
    <t xml:space="preserve">GE Aerospace</t>
  </si>
  <si>
    <t xml:space="preserve">NYSE:GE</t>
  </si>
  <si>
    <t xml:space="preserve">USD</t>
  </si>
  <si>
    <t xml:space="preserve">Eaton Corporation plc</t>
  </si>
  <si>
    <t xml:space="preserve">NYSE:ETN</t>
  </si>
  <si>
    <t xml:space="preserve">Schneider Electric SE</t>
  </si>
  <si>
    <t xml:space="preserve">EPA:SU</t>
  </si>
  <si>
    <t xml:space="preserve">ABB Ltd</t>
  </si>
  <si>
    <t xml:space="preserve">SWX:ABBN</t>
  </si>
  <si>
    <t xml:space="preserve">CHF</t>
  </si>
  <si>
    <t xml:space="preserve">Hitachi, Ltd.</t>
  </si>
  <si>
    <t xml:space="preserve">TYO:6501</t>
  </si>
  <si>
    <t xml:space="preserve">Hubbell Incorporated</t>
  </si>
  <si>
    <t xml:space="preserve">NYSE:HUBB</t>
  </si>
  <si>
    <t xml:space="preserve">Vertiv Holdings Co</t>
  </si>
  <si>
    <t xml:space="preserve">NYSE:VRT</t>
  </si>
  <si>
    <t xml:space="preserve">Emerson Electric Co.</t>
  </si>
  <si>
    <t xml:space="preserve">NYSE:EMR</t>
  </si>
  <si>
    <t xml:space="preserve">Quanta Services</t>
  </si>
  <si>
    <t xml:space="preserve">NYSE:PWR</t>
  </si>
  <si>
    <t xml:space="preserve">Peer median</t>
  </si>
  <si>
    <t xml:space="preserve">Peer mean</t>
  </si>
  <si>
    <t xml:space="preserve">GE Vernova (relevered)</t>
  </si>
  <si>
    <t xml:space="preserve">Risk-free rate (US 10-year)</t>
  </si>
  <si>
    <t xml:space="preserve">Equity risk premium</t>
  </si>
  <si>
    <t xml:space="preserve">Beta (relevered)</t>
  </si>
  <si>
    <t xml:space="preserve">Memo: using GEV observed beta</t>
  </si>
  <si>
    <t xml:space="preserve">Cost of debt</t>
  </si>
  <si>
    <t xml:space="preserve">Notes issued Feb-26</t>
  </si>
  <si>
    <t xml:space="preserve">Principal ($mm)</t>
  </si>
  <si>
    <t xml:space="preserve">Coupon</t>
  </si>
  <si>
    <t xml:space="preserve">4.250% due 2031</t>
  </si>
  <si>
    <t xml:space="preserve">4.875% due 2036</t>
  </si>
  <si>
    <t xml:space="preserve">5.500% due 2056</t>
  </si>
  <si>
    <t xml:space="preserve">Pre-tax cost of debt</t>
  </si>
  <si>
    <t xml:space="preserve">After-tax cost of debt</t>
  </si>
  <si>
    <t xml:space="preserve">Capital structure</t>
  </si>
  <si>
    <t xml:space="preserve">Market capitalisation ($mm)</t>
  </si>
  <si>
    <t xml:space="preserve">% equity</t>
  </si>
  <si>
    <t xml:space="preserve">Total debt incl. leases ($mm)</t>
  </si>
  <si>
    <t xml:space="preserve">% debt</t>
  </si>
  <si>
    <t xml:space="preserve">Total capital ($mm)</t>
  </si>
</sst>
</file>

<file path=xl/styles.xml><?xml version="1.0" encoding="utf-8"?>
<styleSheet xmlns="http://schemas.openxmlformats.org/spreadsheetml/2006/main">
  <numFmts count="20">
    <numFmt numFmtId="164" formatCode="General"/>
    <numFmt numFmtId="165" formatCode="#,##0;\(#,##0\);\-"/>
    <numFmt numFmtId="166" formatCode="0.00;\(0.00\);\-"/>
    <numFmt numFmtId="167" formatCode="0.0%;\(0.0%\);\-"/>
    <numFmt numFmtId="168" formatCode="0.00\x"/>
    <numFmt numFmtId="169" formatCode="0.0;\(0.0\);\-"/>
    <numFmt numFmtId="170" formatCode="#,##0.0"/>
    <numFmt numFmtId="171" formatCode="0.00"/>
    <numFmt numFmtId="172" formatCode="#,##0_);\(#,##0\);\-_)"/>
    <numFmt numFmtId="173" formatCode="0.0%_);\(0.0%\);\-_)"/>
    <numFmt numFmtId="174" formatCode="0.00\x_);\(0.00&quot;x)&quot;;\-_)"/>
    <numFmt numFmtId="175" formatCode="mmm\-yy"/>
    <numFmt numFmtId="176" formatCode="#,##0.0_);\(#,##0.0\);\-_)"/>
    <numFmt numFmtId="177" formatCode="0.00%_);\(0.00%\);\-_)"/>
    <numFmt numFmtId="178" formatCode="0.0&quot; yrs&quot;_);\(0.0&quot; yrs)&quot;;\-_)"/>
    <numFmt numFmtId="179" formatCode="#,##0.00_);\(#,##0.00\);\-_)"/>
    <numFmt numFmtId="180" formatCode="d\-mmm\-yy"/>
    <numFmt numFmtId="181" formatCode="0.000\x"/>
    <numFmt numFmtId="182" formatCode="#,##0.00"/>
    <numFmt numFmtId="183" formatCode="0.000%"/>
  </numFmts>
  <fonts count="29">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name val="Arial"/>
      <family val="2"/>
      <charset val="1"/>
    </font>
    <font>
      <b val="true"/>
      <sz val="10"/>
      <color rgb="FFFFFFFF"/>
      <name val="Arial"/>
      <family val="2"/>
      <charset val="1"/>
    </font>
    <font>
      <sz val="10"/>
      <name val="Arial"/>
      <family val="2"/>
      <charset val="1"/>
    </font>
    <font>
      <sz val="9"/>
      <name val="Arial"/>
      <family val="2"/>
      <charset val="1"/>
    </font>
    <font>
      <i val="true"/>
      <sz val="8"/>
      <name val="Arial"/>
      <family val="2"/>
      <charset val="1"/>
    </font>
    <font>
      <b val="true"/>
      <sz val="10"/>
      <name val="Arial"/>
      <family val="2"/>
      <charset val="1"/>
    </font>
    <font>
      <sz val="10"/>
      <color rgb="FF0000FF"/>
      <name val="Arial"/>
      <family val="2"/>
      <charset val="1"/>
    </font>
    <font>
      <b val="true"/>
      <sz val="10"/>
      <color rgb="FF0000FF"/>
      <name val="Arial"/>
      <family val="2"/>
      <charset val="1"/>
    </font>
    <font>
      <i val="true"/>
      <sz val="10"/>
      <name val="Arial"/>
      <family val="2"/>
      <charset val="1"/>
    </font>
    <font>
      <b val="true"/>
      <sz val="10"/>
      <color theme="1"/>
      <name val="Arial"/>
      <family val="2"/>
      <charset val="1"/>
    </font>
    <font>
      <b val="true"/>
      <sz val="10"/>
      <name val="Arial"/>
      <family val="0"/>
      <charset val="1"/>
    </font>
    <font>
      <b val="true"/>
      <sz val="11"/>
      <color theme="1"/>
      <name val="Calibri"/>
      <family val="2"/>
      <charset val="1"/>
    </font>
    <font>
      <sz val="11"/>
      <name val="Calibri"/>
      <family val="0"/>
      <charset val="1"/>
    </font>
    <font>
      <b val="true"/>
      <sz val="11"/>
      <name val="Calibri"/>
      <family val="0"/>
      <charset val="1"/>
    </font>
    <font>
      <i val="true"/>
      <sz val="10"/>
      <name val="Calibri"/>
      <family val="0"/>
      <charset val="1"/>
    </font>
    <font>
      <i val="true"/>
      <sz val="11"/>
      <name val="Calibri"/>
      <family val="0"/>
      <charset val="1"/>
    </font>
    <font>
      <b val="true"/>
      <sz val="9"/>
      <name val="Arial"/>
      <family val="0"/>
      <charset val="1"/>
    </font>
    <font>
      <i val="true"/>
      <sz val="9"/>
      <name val="Arial"/>
      <family val="0"/>
      <charset val="1"/>
    </font>
    <font>
      <sz val="10"/>
      <name val="Arial"/>
      <family val="2"/>
    </font>
    <font>
      <b val="true"/>
      <sz val="14"/>
      <name val="Arial"/>
      <family val="0"/>
      <charset val="1"/>
    </font>
    <font>
      <i val="true"/>
      <sz val="9"/>
      <color rgb="FF595959"/>
      <name val="Calibri"/>
      <family val="0"/>
      <charset val="1"/>
    </font>
    <font>
      <sz val="11"/>
      <color rgb="FF0000FF"/>
      <name val="Calibri"/>
      <family val="0"/>
      <charset val="1"/>
    </font>
    <font>
      <b val="true"/>
      <sz val="11"/>
      <color rgb="FF0000FF"/>
      <name val="Calibri"/>
      <family val="0"/>
      <charset val="1"/>
    </font>
    <font>
      <i val="true"/>
      <sz val="11"/>
      <color rgb="FF0000FF"/>
      <name val="Calibri"/>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E7E6E6"/>
      </patternFill>
    </fill>
    <fill>
      <patternFill patternType="solid">
        <fgColor rgb="FFE7E6E6"/>
        <bgColor rgb="FFD9E1F2"/>
      </patternFill>
    </fill>
    <fill>
      <patternFill patternType="solid">
        <fgColor rgb="FFF2F2F2"/>
        <bgColor rgb="FFE7E6E6"/>
      </patternFill>
    </fill>
    <fill>
      <patternFill patternType="solid">
        <fgColor rgb="FFFFF2CC"/>
        <bgColor rgb="FFF2F2F2"/>
      </patternFill>
    </fill>
    <fill>
      <patternFill patternType="solid">
        <fgColor theme="0" tint="-0.15"/>
        <bgColor rgb="FFD9E1F2"/>
      </patternFill>
    </fill>
    <fill>
      <patternFill patternType="solid">
        <fgColor rgb="FFFFE699"/>
        <bgColor rgb="FFFFF2CC"/>
      </patternFill>
    </fill>
  </fills>
  <borders count="6">
    <border diagonalUp="false" diagonalDown="false">
      <left/>
      <right/>
      <top/>
      <bottom/>
      <diagonal/>
    </border>
    <border diagonalUp="false" diagonalDown="false">
      <left/>
      <right/>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1"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5" fontId="13" fillId="6"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2"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right" vertical="bottom" textRotation="0" wrapText="fals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5" fillId="7" borderId="0" xfId="0" applyFont="true" applyBorder="false" applyAlignment="true" applyProtection="false">
      <alignment horizontal="right" vertical="bottom" textRotation="0" wrapText="false" indent="0" shrinkToFit="false"/>
      <protection locked="true" hidden="false"/>
    </xf>
    <xf numFmtId="164" fontId="15" fillId="7"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64" fontId="16" fillId="7"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72" fontId="18"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2"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3"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1"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74" fontId="17"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3"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75" fontId="15" fillId="7" borderId="0" xfId="0" applyFont="true" applyBorder="false" applyAlignment="true" applyProtection="false">
      <alignment horizontal="right"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72" fontId="17" fillId="5" borderId="0" xfId="0" applyFont="true" applyBorder="fals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72" fontId="18" fillId="5" borderId="1" xfId="0" applyFont="true" applyBorder="true" applyAlignment="fals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73" fontId="20" fillId="5" borderId="0" xfId="0" applyFont="true" applyBorder="false" applyAlignment="false" applyProtection="false">
      <alignment horizontal="general" vertical="bottom" textRotation="0" wrapText="false" indent="0" shrinkToFit="false"/>
      <protection locked="true" hidden="false"/>
    </xf>
    <xf numFmtId="172" fontId="20" fillId="5"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76" fontId="26" fillId="0" borderId="0" xfId="0" applyFont="true" applyBorder="false" applyAlignment="false" applyProtection="false">
      <alignment horizontal="general" vertical="bottom" textRotation="0" wrapText="false" indent="0" shrinkToFit="false"/>
      <protection locked="true" hidden="false"/>
    </xf>
    <xf numFmtId="176" fontId="26" fillId="5" borderId="0" xfId="0" applyFont="true" applyBorder="false" applyAlignment="false" applyProtection="false">
      <alignment horizontal="general" vertical="bottom" textRotation="0" wrapText="false" indent="0" shrinkToFit="false"/>
      <protection locked="true" hidden="false"/>
    </xf>
    <xf numFmtId="176" fontId="18" fillId="0" borderId="1" xfId="0" applyFont="true" applyBorder="true" applyAlignment="false" applyProtection="false">
      <alignment horizontal="general" vertical="bottom" textRotation="0" wrapText="false" indent="0" shrinkToFit="false"/>
      <protection locked="true" hidden="false"/>
    </xf>
    <xf numFmtId="176" fontId="18" fillId="5"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77" fontId="18" fillId="0" borderId="0" xfId="0" applyFont="true" applyBorder="false" applyAlignment="false" applyProtection="false">
      <alignment horizontal="general" vertical="bottom" textRotation="0" wrapText="false" indent="0" shrinkToFit="false"/>
      <protection locked="true" hidden="false"/>
    </xf>
    <xf numFmtId="177" fontId="18" fillId="5" borderId="0" xfId="0" applyFont="true" applyBorder="false" applyAlignment="false" applyProtection="false">
      <alignment horizontal="general" vertical="bottom" textRotation="0" wrapText="false" indent="0" shrinkToFit="false"/>
      <protection locked="true" hidden="false"/>
    </xf>
    <xf numFmtId="176" fontId="17" fillId="5" borderId="0" xfId="0" applyFont="true" applyBorder="false" applyAlignment="false" applyProtection="false">
      <alignment horizontal="general" vertical="bottom" textRotation="0" wrapText="false" indent="0" shrinkToFit="false"/>
      <protection locked="true" hidden="false"/>
    </xf>
    <xf numFmtId="176" fontId="17" fillId="0" borderId="0" xfId="0" applyFont="true" applyBorder="false" applyAlignment="false" applyProtection="false">
      <alignment horizontal="general" vertical="bottom" textRotation="0" wrapText="false" indent="0" shrinkToFit="false"/>
      <protection locked="true" hidden="false"/>
    </xf>
    <xf numFmtId="176" fontId="27" fillId="0" borderId="1" xfId="0" applyFont="true" applyBorder="true" applyAlignment="false" applyProtection="false">
      <alignment horizontal="general" vertical="bottom" textRotation="0" wrapText="false" indent="0" shrinkToFit="false"/>
      <protection locked="true" hidden="false"/>
    </xf>
    <xf numFmtId="176" fontId="26" fillId="8" borderId="0" xfId="0" applyFont="true" applyBorder="false" applyAlignment="false" applyProtection="false">
      <alignment horizontal="general" vertical="bottom"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76" fontId="18" fillId="5" borderId="0" xfId="0" applyFont="true" applyBorder="false" applyAlignment="false" applyProtection="false">
      <alignment horizontal="general" vertical="bottom" textRotation="0" wrapText="false" indent="0" shrinkToFit="false"/>
      <protection locked="true" hidden="false"/>
    </xf>
    <xf numFmtId="173" fontId="17" fillId="5"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74" fontId="20" fillId="5" borderId="0" xfId="0" applyFont="true" applyBorder="false" applyAlignment="false" applyProtection="false">
      <alignment horizontal="general" vertical="bottom" textRotation="0" wrapText="false" indent="0" shrinkToFit="false"/>
      <protection locked="true" hidden="false"/>
    </xf>
    <xf numFmtId="178" fontId="20" fillId="0" borderId="0" xfId="0" applyFont="true" applyBorder="false" applyAlignment="false" applyProtection="false">
      <alignment horizontal="general" vertical="bottom" textRotation="0" wrapText="false" indent="0" shrinkToFit="false"/>
      <protection locked="true" hidden="false"/>
    </xf>
    <xf numFmtId="178" fontId="20" fillId="5" borderId="0" xfId="0" applyFont="true" applyBorder="false" applyAlignment="false" applyProtection="false">
      <alignment horizontal="general" vertical="bottom" textRotation="0" wrapText="false" indent="0" shrinkToFit="false"/>
      <protection locked="true" hidden="false"/>
    </xf>
    <xf numFmtId="177" fontId="17" fillId="0" borderId="0" xfId="0" applyFont="true" applyBorder="false" applyAlignment="false" applyProtection="false">
      <alignment horizontal="general" vertical="bottom" textRotation="0" wrapText="false" indent="0" shrinkToFit="false"/>
      <protection locked="true" hidden="false"/>
    </xf>
    <xf numFmtId="177" fontId="17" fillId="5"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3" fontId="18" fillId="5" borderId="0" xfId="0" applyFont="true" applyBorder="false" applyAlignment="false" applyProtection="false">
      <alignment horizontal="general" vertical="bottom" textRotation="0" wrapText="false" indent="0" shrinkToFit="false"/>
      <protection locked="true" hidden="false"/>
    </xf>
    <xf numFmtId="172" fontId="26" fillId="5"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left" vertical="bottom" textRotation="0" wrapText="false" indent="0" shrinkToFit="false"/>
      <protection locked="true" hidden="false"/>
    </xf>
    <xf numFmtId="173" fontId="26" fillId="5" borderId="0" xfId="0" applyFont="true" applyBorder="false" applyAlignment="false" applyProtection="false">
      <alignment horizontal="general" vertical="bottom" textRotation="0" wrapText="false" indent="0" shrinkToFit="false"/>
      <protection locked="true" hidden="false"/>
    </xf>
    <xf numFmtId="164" fontId="18" fillId="0" borderId="4" xfId="0" applyFont="true" applyBorder="true" applyAlignment="false" applyProtection="false">
      <alignment horizontal="general" vertical="bottom" textRotation="0" wrapText="false" indent="0" shrinkToFit="false"/>
      <protection locked="true" hidden="false"/>
    </xf>
    <xf numFmtId="164" fontId="27" fillId="8" borderId="3" xfId="0" applyFont="true" applyBorder="true" applyAlignment="true" applyProtection="false">
      <alignment horizontal="center" vertical="bottom" textRotation="0" wrapText="false" indent="0" shrinkToFit="false"/>
      <protection locked="true" hidden="false"/>
    </xf>
    <xf numFmtId="173" fontId="18" fillId="5"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1" shrinkToFit="false"/>
      <protection locked="true" hidden="false"/>
    </xf>
    <xf numFmtId="173" fontId="26" fillId="8" borderId="0" xfId="0" applyFont="true" applyBorder="false" applyAlignment="false" applyProtection="false">
      <alignment horizontal="general" vertical="bottom" textRotation="0" wrapText="false" indent="0" shrinkToFit="false"/>
      <protection locked="true" hidden="false"/>
    </xf>
    <xf numFmtId="177" fontId="20" fillId="0" borderId="0" xfId="0" applyFont="true" applyBorder="false" applyAlignment="false" applyProtection="false">
      <alignment horizontal="general" vertical="bottom" textRotation="0" wrapText="false" indent="0" shrinkToFit="false"/>
      <protection locked="true" hidden="false"/>
    </xf>
    <xf numFmtId="177" fontId="18" fillId="5" borderId="1" xfId="0" applyFont="true" applyBorder="true" applyAlignment="false" applyProtection="false">
      <alignment horizontal="general" vertical="bottom" textRotation="0" wrapText="false" indent="0" shrinkToFit="false"/>
      <protection locked="true" hidden="false"/>
    </xf>
    <xf numFmtId="177" fontId="26" fillId="8" borderId="0" xfId="0" applyFont="true" applyBorder="false" applyAlignment="false" applyProtection="false">
      <alignment horizontal="general" vertical="bottom" textRotation="0" wrapText="false" indent="0" shrinkToFit="false"/>
      <protection locked="true" hidden="false"/>
    </xf>
    <xf numFmtId="173" fontId="18" fillId="0" borderId="1" xfId="0" applyFont="true" applyBorder="true" applyAlignment="false" applyProtection="false">
      <alignment horizontal="general" vertical="bottom" textRotation="0" wrapText="false" indent="0" shrinkToFit="false"/>
      <protection locked="true" hidden="false"/>
    </xf>
    <xf numFmtId="174" fontId="18" fillId="5" borderId="1" xfId="0" applyFont="true" applyBorder="true" applyAlignment="false" applyProtection="false">
      <alignment horizontal="general" vertical="bottom" textRotation="0" wrapText="false" indent="0" shrinkToFit="false"/>
      <protection locked="true" hidden="false"/>
    </xf>
    <xf numFmtId="174" fontId="26" fillId="8"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78" fontId="26" fillId="0" borderId="0" xfId="0" applyFont="true" applyBorder="false" applyAlignment="false" applyProtection="false">
      <alignment horizontal="general" vertical="bottom" textRotation="0" wrapText="false" indent="0" shrinkToFit="false"/>
      <protection locked="true" hidden="false"/>
    </xf>
    <xf numFmtId="179" fontId="2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2" fontId="18" fillId="5" borderId="0" xfId="0" applyFont="true" applyBorder="false" applyAlignment="false" applyProtection="false">
      <alignment horizontal="general" vertical="bottom" textRotation="0" wrapText="false" indent="0" shrinkToFit="false"/>
      <protection locked="true" hidden="false"/>
    </xf>
    <xf numFmtId="179" fontId="17" fillId="5" borderId="0" xfId="0" applyFont="true" applyBorder="false" applyAlignment="false" applyProtection="false">
      <alignment horizontal="general" vertical="bottom" textRotation="0" wrapText="false" indent="0" shrinkToFit="false"/>
      <protection locked="true" hidden="false"/>
    </xf>
    <xf numFmtId="179" fontId="20" fillId="5" borderId="0" xfId="0" applyFont="true" applyBorder="false" applyAlignment="false" applyProtection="false">
      <alignment horizontal="general" vertical="bottom" textRotation="0" wrapText="false" indent="0" shrinkToFit="false"/>
      <protection locked="true" hidden="false"/>
    </xf>
    <xf numFmtId="164" fontId="18" fillId="7" borderId="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right" vertical="bottom" textRotation="0" wrapText="false" indent="0" shrinkToFit="false"/>
      <protection locked="true" hidden="false"/>
    </xf>
    <xf numFmtId="178" fontId="17"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true" applyProtection="false">
      <alignment horizontal="right" vertical="bottom" textRotation="0" wrapText="false" indent="0" shrinkToFit="false"/>
      <protection locked="true" hidden="false"/>
    </xf>
    <xf numFmtId="179" fontId="17" fillId="0"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false" applyAlignment="true" applyProtection="false">
      <alignment horizontal="right" vertical="bottom" textRotation="0" wrapText="false" indent="0" shrinkToFit="false"/>
      <protection locked="true" hidden="false"/>
    </xf>
    <xf numFmtId="180" fontId="17" fillId="0" borderId="0" xfId="0" applyFont="true" applyBorder="false" applyAlignment="true" applyProtection="false">
      <alignment horizontal="right" vertical="bottom" textRotation="0" wrapText="false" indent="0" shrinkToFit="false"/>
      <protection locked="true" hidden="false"/>
    </xf>
    <xf numFmtId="181" fontId="20" fillId="0" borderId="0" xfId="0" applyFont="true" applyBorder="false" applyAlignment="false" applyProtection="false">
      <alignment horizontal="general" vertical="bottom" textRotation="0" wrapText="false" indent="0" shrinkToFit="false"/>
      <protection locked="true" hidden="false"/>
    </xf>
    <xf numFmtId="179" fontId="18" fillId="5" borderId="1"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74" fontId="18" fillId="7" borderId="0" xfId="0" applyFont="true" applyBorder="false" applyAlignment="true" applyProtection="false">
      <alignment horizontal="right" vertical="bottom" textRotation="0" wrapText="false" indent="0" shrinkToFit="false"/>
      <protection locked="true" hidden="false"/>
    </xf>
    <xf numFmtId="173" fontId="18" fillId="0" borderId="0" xfId="0" applyFont="true" applyBorder="false" applyAlignment="true" applyProtection="false">
      <alignment horizontal="right" vertical="bottom" textRotation="0" wrapText="false" indent="0" shrinkToFit="false"/>
      <protection locked="true" hidden="false"/>
    </xf>
    <xf numFmtId="179" fontId="18" fillId="5" borderId="0" xfId="0" applyFont="true" applyBorder="false" applyAlignment="false" applyProtection="false">
      <alignment horizontal="general" vertical="bottom" textRotation="0" wrapText="false" indent="0" shrinkToFit="false"/>
      <protection locked="true" hidden="false"/>
    </xf>
    <xf numFmtId="171" fontId="28" fillId="5" borderId="0" xfId="0" applyFont="true" applyBorder="false" applyAlignment="false" applyProtection="false">
      <alignment horizontal="general" vertical="bottom" textRotation="0" wrapText="false" indent="0" shrinkToFit="false"/>
      <protection locked="true" hidden="false"/>
    </xf>
    <xf numFmtId="173" fontId="18" fillId="5" borderId="5" xfId="0" applyFont="true" applyBorder="true" applyAlignment="false" applyProtection="false">
      <alignment horizontal="general" vertical="bottom" textRotation="0" wrapText="false" indent="0" shrinkToFit="false"/>
      <protection locked="true" hidden="false"/>
    </xf>
    <xf numFmtId="174" fontId="18"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79" fontId="20" fillId="0" borderId="0" xfId="0" applyFont="true" applyBorder="false" applyAlignment="false" applyProtection="false">
      <alignment horizontal="general" vertical="bottom" textRotation="0" wrapText="false" indent="0" shrinkToFit="false"/>
      <protection locked="true" hidden="false"/>
    </xf>
    <xf numFmtId="172" fontId="27" fillId="5" borderId="1" xfId="0" applyFont="true" applyBorder="true" applyAlignment="false" applyProtection="false">
      <alignment horizontal="general" vertical="bottom" textRotation="0" wrapText="false" indent="0" shrinkToFit="false"/>
      <protection locked="true" hidden="false"/>
    </xf>
    <xf numFmtId="173" fontId="28" fillId="8" borderId="0" xfId="0" applyFont="true" applyBorder="false" applyAlignment="false" applyProtection="false">
      <alignment horizontal="general" vertical="bottom" textRotation="0" wrapText="false" indent="0" shrinkToFit="false"/>
      <protection locked="true" hidden="false"/>
    </xf>
    <xf numFmtId="172" fontId="27" fillId="5" borderId="0" xfId="0" applyFont="true" applyBorder="false" applyAlignment="false" applyProtection="false">
      <alignment horizontal="general" vertical="bottom" textRotation="0" wrapText="false" indent="0" shrinkToFit="false"/>
      <protection locked="true" hidden="false"/>
    </xf>
    <xf numFmtId="172" fontId="28" fillId="5" borderId="0" xfId="0" applyFont="true" applyBorder="fals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2" fontId="26"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71" fontId="18" fillId="0" borderId="1" xfId="0" applyFont="true" applyBorder="tru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82" fontId="17" fillId="0" borderId="0" xfId="0" applyFont="true" applyBorder="false" applyAlignment="false" applyProtection="false">
      <alignment horizontal="general" vertical="bottom" textRotation="0" wrapText="false" indent="0" shrinkToFit="false"/>
      <protection locked="true" hidden="false"/>
    </xf>
    <xf numFmtId="171" fontId="18" fillId="0" borderId="5" xfId="0" applyFont="true" applyBorder="true" applyAlignment="false" applyProtection="false">
      <alignment horizontal="general" vertical="bottom" textRotation="0" wrapText="false" indent="0" shrinkToFit="false"/>
      <protection locked="true" hidden="false"/>
    </xf>
    <xf numFmtId="177" fontId="18" fillId="0" borderId="1" xfId="0" applyFont="true" applyBorder="true" applyAlignment="false" applyProtection="false">
      <alignment horizontal="general" vertical="bottom" textRotation="0" wrapText="false" indent="0" shrinkToFit="false"/>
      <protection locked="true" hidden="false"/>
    </xf>
    <xf numFmtId="183" fontId="26" fillId="0" borderId="0" xfId="0" applyFont="true" applyBorder="false" applyAlignment="false" applyProtection="false">
      <alignment horizontal="general" vertical="bottom" textRotation="0" wrapText="false" indent="0" shrinkToFit="false"/>
      <protection locked="true" hidden="false"/>
    </xf>
    <xf numFmtId="177" fontId="18" fillId="5"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7E6E6"/>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8"/>
  <sheetViews>
    <sheetView showFormulas="false" showGridLines="false" showRowColHeaders="true" showZeros="true" rightToLeft="false" tabSelected="true" showOutlineSymbols="true" defaultGridColor="true" view="normal" topLeftCell="A1" colorId="64" zoomScale="64" zoomScaleNormal="64" zoomScalePageLayoutView="100" workbookViewId="0">
      <pane xSplit="1" ySplit="7" topLeftCell="B29" activePane="bottomRight" state="frozen"/>
      <selection pane="topLeft" activeCell="A1" activeCellId="0" sqref="A1"/>
      <selection pane="topRight" activeCell="B1" activeCellId="0" sqref="B1"/>
      <selection pane="bottomLeft" activeCell="A29" activeCellId="0" sqref="A29"/>
      <selection pane="bottomRight" activeCell="B145" activeCellId="0" sqref="B145"/>
    </sheetView>
  </sheetViews>
  <sheetFormatPr defaultColWidth="8.66796875" defaultRowHeight="15" zeroHeight="false" outlineLevelRow="0" outlineLevelCol="0"/>
  <cols>
    <col collapsed="false" customWidth="true" hidden="false" outlineLevel="0" max="1" min="1" style="0" width="64"/>
    <col collapsed="false" customWidth="true" hidden="false" outlineLevel="0" max="11" min="2" style="0" width="11.5"/>
  </cols>
  <sheetData>
    <row r="1" customFormat="false" ht="18"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4" t="s">
        <v>3</v>
      </c>
      <c r="D4" s="4" t="s">
        <v>3</v>
      </c>
      <c r="E4" s="4" t="s">
        <v>3</v>
      </c>
      <c r="F4" s="4" t="s">
        <v>4</v>
      </c>
      <c r="G4" s="4" t="s">
        <v>4</v>
      </c>
      <c r="H4" s="4" t="s">
        <v>4</v>
      </c>
      <c r="I4" s="4" t="s">
        <v>4</v>
      </c>
      <c r="J4" s="4" t="s">
        <v>5</v>
      </c>
      <c r="K4" s="4" t="s">
        <v>5</v>
      </c>
    </row>
    <row r="5" customFormat="false" ht="15" hidden="false" customHeight="false" outlineLevel="0" collapsed="false">
      <c r="A5" s="3" t="s">
        <v>6</v>
      </c>
      <c r="B5" s="4" t="s">
        <v>7</v>
      </c>
      <c r="C5" s="4" t="s">
        <v>8</v>
      </c>
      <c r="D5" s="4" t="s">
        <v>9</v>
      </c>
      <c r="E5" s="4" t="s">
        <v>10</v>
      </c>
      <c r="F5" s="4" t="s">
        <v>11</v>
      </c>
      <c r="G5" s="4" t="s">
        <v>12</v>
      </c>
      <c r="H5" s="4" t="s">
        <v>13</v>
      </c>
      <c r="I5" s="4" t="s">
        <v>14</v>
      </c>
      <c r="J5" s="4" t="s">
        <v>15</v>
      </c>
      <c r="K5" s="4" t="s">
        <v>16</v>
      </c>
    </row>
    <row r="6" customFormat="false" ht="15" hidden="false" customHeight="false" outlineLevel="0" collapsed="false">
      <c r="A6" s="5" t="s">
        <v>17</v>
      </c>
      <c r="B6" s="6" t="s">
        <v>18</v>
      </c>
      <c r="C6" s="6" t="s">
        <v>19</v>
      </c>
      <c r="D6" s="6" t="s">
        <v>20</v>
      </c>
      <c r="E6" s="6" t="s">
        <v>21</v>
      </c>
      <c r="F6" s="6" t="s">
        <v>22</v>
      </c>
      <c r="G6" s="6" t="s">
        <v>23</v>
      </c>
      <c r="H6" s="6" t="s">
        <v>24</v>
      </c>
      <c r="I6" s="6" t="s">
        <v>25</v>
      </c>
      <c r="J6" s="6" t="s">
        <v>26</v>
      </c>
      <c r="K6" s="6" t="s">
        <v>27</v>
      </c>
    </row>
    <row r="7" customFormat="false" ht="15" hidden="false" customHeight="false" outlineLevel="0" collapsed="false">
      <c r="A7" s="2" t="s">
        <v>28</v>
      </c>
      <c r="B7" s="7" t="s">
        <v>29</v>
      </c>
      <c r="C7" s="7" t="s">
        <v>30</v>
      </c>
      <c r="D7" s="7" t="s">
        <v>31</v>
      </c>
      <c r="E7" s="7" t="s">
        <v>32</v>
      </c>
      <c r="F7" s="7" t="s">
        <v>33</v>
      </c>
      <c r="G7" s="7" t="s">
        <v>34</v>
      </c>
      <c r="H7" s="7" t="s">
        <v>31</v>
      </c>
      <c r="I7" s="7" t="s">
        <v>35</v>
      </c>
      <c r="J7" s="7" t="s">
        <v>33</v>
      </c>
      <c r="K7" s="7" t="s">
        <v>34</v>
      </c>
    </row>
    <row r="9" customFormat="false" ht="15" hidden="false" customHeight="false" outlineLevel="0" collapsed="false">
      <c r="A9" s="8" t="s">
        <v>36</v>
      </c>
      <c r="B9" s="8"/>
      <c r="C9" s="8"/>
      <c r="D9" s="8"/>
      <c r="E9" s="8"/>
      <c r="F9" s="8"/>
      <c r="G9" s="8"/>
      <c r="H9" s="8"/>
      <c r="I9" s="8"/>
      <c r="J9" s="8"/>
      <c r="K9" s="8"/>
    </row>
    <row r="10" customFormat="false" ht="15" hidden="false" customHeight="false" outlineLevel="0" collapsed="false">
      <c r="A10" s="9" t="s">
        <v>37</v>
      </c>
      <c r="B10" s="10" t="n">
        <v>3617</v>
      </c>
      <c r="C10" s="10" t="n">
        <v>4194</v>
      </c>
      <c r="D10" s="10" t="n">
        <v>5290</v>
      </c>
      <c r="E10" s="11" t="n">
        <f aca="false">E412-SUM(B10:D10)</f>
        <v>5851</v>
      </c>
      <c r="F10" s="10" t="n">
        <v>4197</v>
      </c>
      <c r="G10" s="10" t="n">
        <v>4894</v>
      </c>
      <c r="H10" s="10" t="n">
        <v>5880</v>
      </c>
      <c r="I10" s="11" t="n">
        <f aca="false">I412-SUM(F10:H10)</f>
        <v>5963</v>
      </c>
      <c r="J10" s="10" t="n">
        <v>5254</v>
      </c>
      <c r="K10" s="10" t="n">
        <v>6459</v>
      </c>
    </row>
    <row r="11" customFormat="false" ht="15" hidden="false" customHeight="false" outlineLevel="0" collapsed="false">
      <c r="A11" s="9" t="s">
        <v>38</v>
      </c>
      <c r="B11" s="10" t="n">
        <v>3642</v>
      </c>
      <c r="C11" s="10" t="n">
        <v>4010</v>
      </c>
      <c r="D11" s="10" t="n">
        <v>3623</v>
      </c>
      <c r="E11" s="11" t="n">
        <f aca="false">E413-SUM(B11:D11)</f>
        <v>4708</v>
      </c>
      <c r="F11" s="10" t="n">
        <v>3835</v>
      </c>
      <c r="G11" s="10" t="n">
        <v>4217</v>
      </c>
      <c r="H11" s="10" t="n">
        <v>4089</v>
      </c>
      <c r="I11" s="11" t="n">
        <f aca="false">I413-SUM(F11:H11)</f>
        <v>4993</v>
      </c>
      <c r="J11" s="10" t="n">
        <v>4084</v>
      </c>
      <c r="K11" s="10" t="n">
        <v>4645</v>
      </c>
    </row>
    <row r="12" customFormat="false" ht="15" hidden="false" customHeight="false" outlineLevel="0" collapsed="false">
      <c r="A12" s="12" t="s">
        <v>39</v>
      </c>
      <c r="B12" s="13" t="n">
        <v>7260</v>
      </c>
      <c r="C12" s="13" t="n">
        <v>8204</v>
      </c>
      <c r="D12" s="13" t="n">
        <v>8913</v>
      </c>
      <c r="E12" s="14" t="n">
        <f aca="false">E414-SUM(B12:D12)</f>
        <v>10558</v>
      </c>
      <c r="F12" s="13" t="n">
        <v>8032</v>
      </c>
      <c r="G12" s="13" t="n">
        <v>9111</v>
      </c>
      <c r="H12" s="13" t="n">
        <v>9969</v>
      </c>
      <c r="I12" s="14" t="n">
        <f aca="false">I414-SUM(F12:H12)</f>
        <v>10956</v>
      </c>
      <c r="J12" s="13" t="n">
        <v>9339</v>
      </c>
      <c r="K12" s="13" t="n">
        <v>11104</v>
      </c>
    </row>
    <row r="13" customFormat="false" ht="15" hidden="false" customHeight="false" outlineLevel="0" collapsed="false">
      <c r="A13" s="9" t="s">
        <v>40</v>
      </c>
      <c r="B13" s="10" t="n">
        <v>3693</v>
      </c>
      <c r="C13" s="10" t="n">
        <v>3853</v>
      </c>
      <c r="D13" s="10" t="n">
        <v>5076</v>
      </c>
      <c r="E13" s="11" t="n">
        <f aca="false">E415-SUM(B13:D13)</f>
        <v>5367</v>
      </c>
      <c r="F13" s="10" t="n">
        <v>3915</v>
      </c>
      <c r="G13" s="10" t="n">
        <v>4265</v>
      </c>
      <c r="H13" s="10" t="n">
        <v>5165</v>
      </c>
      <c r="I13" s="11" t="n">
        <f aca="false">I415-SUM(F13:H13)</f>
        <v>5414</v>
      </c>
      <c r="J13" s="10" t="n">
        <v>4714</v>
      </c>
      <c r="K13" s="10" t="n">
        <v>5613</v>
      </c>
    </row>
    <row r="14" customFormat="false" ht="15" hidden="false" customHeight="false" outlineLevel="0" collapsed="false">
      <c r="A14" s="9" t="s">
        <v>41</v>
      </c>
      <c r="B14" s="10" t="n">
        <v>2417</v>
      </c>
      <c r="C14" s="10" t="n">
        <v>2649</v>
      </c>
      <c r="D14" s="10" t="n">
        <v>2728</v>
      </c>
      <c r="E14" s="11" t="n">
        <f aca="false">E416-SUM(B14:D14)</f>
        <v>3067</v>
      </c>
      <c r="F14" s="10" t="n">
        <v>2647</v>
      </c>
      <c r="G14" s="10" t="n">
        <v>3000</v>
      </c>
      <c r="H14" s="10" t="n">
        <v>2906</v>
      </c>
      <c r="I14" s="11" t="n">
        <f aca="false">I416-SUM(F14:H14)</f>
        <v>3221</v>
      </c>
      <c r="J14" s="10" t="n">
        <v>2843</v>
      </c>
      <c r="K14" s="10" t="n">
        <v>3130</v>
      </c>
    </row>
    <row r="15" customFormat="false" ht="15" hidden="false" customHeight="false" outlineLevel="0" collapsed="false">
      <c r="A15" s="12" t="s">
        <v>42</v>
      </c>
      <c r="B15" s="13" t="n">
        <v>1150</v>
      </c>
      <c r="C15" s="13" t="n">
        <v>1702</v>
      </c>
      <c r="D15" s="13" t="n">
        <v>1109</v>
      </c>
      <c r="E15" s="14" t="n">
        <f aca="false">E417-SUM(B15:D15)</f>
        <v>2124</v>
      </c>
      <c r="F15" s="13" t="n">
        <v>1470</v>
      </c>
      <c r="G15" s="13" t="n">
        <v>1846</v>
      </c>
      <c r="H15" s="13" t="n">
        <v>1897</v>
      </c>
      <c r="I15" s="14" t="n">
        <f aca="false">I417-SUM(F15:H15)</f>
        <v>2322</v>
      </c>
      <c r="J15" s="13" t="n">
        <v>1781</v>
      </c>
      <c r="K15" s="13" t="n">
        <v>2360</v>
      </c>
    </row>
    <row r="16" customFormat="false" ht="15" hidden="false" customHeight="false" outlineLevel="0" collapsed="false">
      <c r="A16" s="9" t="s">
        <v>43</v>
      </c>
      <c r="B16" s="10" t="n">
        <v>1202</v>
      </c>
      <c r="C16" s="10" t="n">
        <v>938</v>
      </c>
      <c r="D16" s="10" t="n">
        <v>1226</v>
      </c>
      <c r="E16" s="11" t="n">
        <f aca="false">E418-SUM(B16:D16)</f>
        <v>1266</v>
      </c>
      <c r="F16" s="10" t="n">
        <v>1188</v>
      </c>
      <c r="G16" s="10" t="n">
        <v>1185</v>
      </c>
      <c r="H16" s="10" t="n">
        <v>1221</v>
      </c>
      <c r="I16" s="11" t="n">
        <f aca="false">I418-SUM(F16:H16)</f>
        <v>1355</v>
      </c>
      <c r="J16" s="10" t="n">
        <v>1298</v>
      </c>
      <c r="K16" s="10" t="n">
        <v>1372</v>
      </c>
    </row>
    <row r="17" customFormat="false" ht="15" hidden="false" customHeight="false" outlineLevel="0" collapsed="false">
      <c r="A17" s="9" t="s">
        <v>44</v>
      </c>
      <c r="B17" s="10" t="n">
        <v>237</v>
      </c>
      <c r="C17" s="10" t="n">
        <v>237</v>
      </c>
      <c r="D17" s="10" t="n">
        <v>243</v>
      </c>
      <c r="E17" s="11" t="n">
        <f aca="false">E419-SUM(B17:D17)</f>
        <v>265</v>
      </c>
      <c r="F17" s="10" t="n">
        <v>239</v>
      </c>
      <c r="G17" s="10" t="n">
        <v>282</v>
      </c>
      <c r="H17" s="10" t="n">
        <v>310</v>
      </c>
      <c r="I17" s="11" t="n">
        <f aca="false">I419-SUM(F17:H17)</f>
        <v>366</v>
      </c>
      <c r="J17" s="10" t="n">
        <v>304</v>
      </c>
      <c r="K17" s="10" t="n">
        <v>334</v>
      </c>
    </row>
    <row r="18" customFormat="false" ht="15" hidden="false" customHeight="false" outlineLevel="0" collapsed="false">
      <c r="A18" s="12" t="s">
        <v>45</v>
      </c>
      <c r="B18" s="13" t="n">
        <v>-289</v>
      </c>
      <c r="C18" s="13" t="n">
        <v>527</v>
      </c>
      <c r="D18" s="13" t="n">
        <v>-359</v>
      </c>
      <c r="E18" s="14" t="n">
        <f aca="false">E420-SUM(B18:D18)</f>
        <v>592</v>
      </c>
      <c r="F18" s="13" t="n">
        <v>43</v>
      </c>
      <c r="G18" s="13" t="n">
        <v>378</v>
      </c>
      <c r="H18" s="13" t="n">
        <v>366</v>
      </c>
      <c r="I18" s="14" t="n">
        <f aca="false">I420-SUM(F18:H18)</f>
        <v>601</v>
      </c>
      <c r="J18" s="13" t="n">
        <v>179</v>
      </c>
      <c r="K18" s="13" t="n">
        <v>653</v>
      </c>
    </row>
    <row r="19" customFormat="false" ht="15" hidden="false" customHeight="false" outlineLevel="0" collapsed="false">
      <c r="A19" s="9" t="s">
        <v>46</v>
      </c>
      <c r="B19" s="10" t="n">
        <v>-14</v>
      </c>
      <c r="C19" s="10" t="n">
        <v>60</v>
      </c>
      <c r="D19" s="10" t="n">
        <v>36</v>
      </c>
      <c r="E19" s="11" t="n">
        <f aca="false">E421-SUM(B19:D19)</f>
        <v>38</v>
      </c>
      <c r="F19" s="10" t="n">
        <v>56</v>
      </c>
      <c r="G19" s="10" t="n">
        <v>42</v>
      </c>
      <c r="H19" s="10" t="n">
        <v>44</v>
      </c>
      <c r="I19" s="11" t="n">
        <f aca="false">I421-SUM(F19:H19)</f>
        <v>44</v>
      </c>
      <c r="J19" s="10" t="n">
        <v>28</v>
      </c>
      <c r="K19" s="10" t="n">
        <v>73</v>
      </c>
    </row>
    <row r="20" customFormat="false" ht="15" hidden="false" customHeight="false" outlineLevel="0" collapsed="false">
      <c r="A20" s="9" t="s">
        <v>47</v>
      </c>
      <c r="B20" s="10" t="n">
        <v>134</v>
      </c>
      <c r="C20" s="10" t="n">
        <v>134</v>
      </c>
      <c r="D20" s="10" t="n">
        <v>130</v>
      </c>
      <c r="E20" s="11" t="n">
        <f aca="false">E422-SUM(B20:D20)</f>
        <v>138</v>
      </c>
      <c r="F20" s="10" t="n">
        <v>115</v>
      </c>
      <c r="G20" s="10" t="n">
        <v>110</v>
      </c>
      <c r="H20" s="10" t="n">
        <v>115</v>
      </c>
      <c r="I20" s="11" t="n">
        <f aca="false">I422-SUM(F20:H20)</f>
        <v>119</v>
      </c>
      <c r="J20" s="10" t="n">
        <v>134</v>
      </c>
      <c r="K20" s="10" t="n">
        <v>119</v>
      </c>
    </row>
    <row r="21" customFormat="false" ht="15" hidden="false" customHeight="false" outlineLevel="0" collapsed="false">
      <c r="A21" s="9" t="s">
        <v>48</v>
      </c>
      <c r="B21" s="10" t="n">
        <v>73</v>
      </c>
      <c r="C21" s="10" t="n">
        <v>881</v>
      </c>
      <c r="D21" s="10" t="n">
        <v>71</v>
      </c>
      <c r="E21" s="11" t="n">
        <f aca="false">E423-SUM(B21:D21)</f>
        <v>347</v>
      </c>
      <c r="F21" s="10" t="n">
        <v>119</v>
      </c>
      <c r="G21" s="10" t="n">
        <v>115</v>
      </c>
      <c r="H21" s="10" t="n">
        <v>221</v>
      </c>
      <c r="I21" s="11" t="n">
        <f aca="false">I423-SUM(F21:H21)</f>
        <v>340</v>
      </c>
      <c r="J21" s="10" t="n">
        <v>4762</v>
      </c>
      <c r="K21" s="10" t="n">
        <v>80</v>
      </c>
    </row>
    <row r="22" customFormat="false" ht="15" hidden="false" customHeight="false" outlineLevel="0" collapsed="false">
      <c r="A22" s="12" t="s">
        <v>49</v>
      </c>
      <c r="B22" s="13" t="n">
        <v>-96</v>
      </c>
      <c r="C22" s="13" t="n">
        <v>1602</v>
      </c>
      <c r="D22" s="13" t="n">
        <v>-122</v>
      </c>
      <c r="E22" s="14" t="n">
        <f aca="false">E424-SUM(B22:D22)</f>
        <v>1114</v>
      </c>
      <c r="F22" s="13" t="n">
        <v>332</v>
      </c>
      <c r="G22" s="13" t="n">
        <v>645</v>
      </c>
      <c r="H22" s="13" t="n">
        <v>746</v>
      </c>
      <c r="I22" s="14" t="n">
        <f aca="false">I424-SUM(F22:H22)</f>
        <v>1105</v>
      </c>
      <c r="J22" s="13" t="n">
        <v>5103</v>
      </c>
      <c r="K22" s="13" t="n">
        <v>925</v>
      </c>
    </row>
    <row r="23" customFormat="false" ht="15" hidden="false" customHeight="false" outlineLevel="0" collapsed="false">
      <c r="A23" s="9" t="s">
        <v>50</v>
      </c>
      <c r="B23" s="10" t="n">
        <v>10</v>
      </c>
      <c r="C23" s="10" t="n">
        <v>322</v>
      </c>
      <c r="D23" s="10" t="n">
        <v>-23</v>
      </c>
      <c r="E23" s="11" t="n">
        <f aca="false">E425-SUM(B23:D23)</f>
        <v>630</v>
      </c>
      <c r="F23" s="10" t="n">
        <v>68</v>
      </c>
      <c r="G23" s="10" t="n">
        <v>153</v>
      </c>
      <c r="H23" s="10" t="n">
        <v>293</v>
      </c>
      <c r="I23" s="11" t="n">
        <f aca="false">I425-SUM(F23:H23)</f>
        <v>-2565</v>
      </c>
      <c r="J23" s="10" t="n">
        <v>354</v>
      </c>
      <c r="K23" s="10" t="n">
        <v>276</v>
      </c>
    </row>
    <row r="24" customFormat="false" ht="15" hidden="false" customHeight="false" outlineLevel="0" collapsed="false">
      <c r="A24" s="12" t="s">
        <v>51</v>
      </c>
      <c r="B24" s="13" t="n">
        <v>-106</v>
      </c>
      <c r="C24" s="13" t="n">
        <v>1280</v>
      </c>
      <c r="D24" s="13" t="n">
        <v>-99</v>
      </c>
      <c r="E24" s="14" t="n">
        <f aca="false">E426-SUM(B24:D24)</f>
        <v>484</v>
      </c>
      <c r="F24" s="13" t="n">
        <v>264</v>
      </c>
      <c r="G24" s="13" t="n">
        <v>492</v>
      </c>
      <c r="H24" s="13" t="n">
        <v>453</v>
      </c>
      <c r="I24" s="14" t="n">
        <f aca="false">I426-SUM(F24:H24)</f>
        <v>3670</v>
      </c>
      <c r="J24" s="13" t="n">
        <v>4750</v>
      </c>
      <c r="K24" s="13" t="n">
        <v>649</v>
      </c>
    </row>
    <row r="25" customFormat="false" ht="15" hidden="false" customHeight="false" outlineLevel="0" collapsed="false">
      <c r="A25" s="9" t="s">
        <v>52</v>
      </c>
      <c r="B25" s="10" t="n">
        <v>-24</v>
      </c>
      <c r="C25" s="10" t="n">
        <v>14</v>
      </c>
      <c r="D25" s="10" t="n">
        <v>3</v>
      </c>
      <c r="E25" s="11" t="n">
        <f aca="false">E427-SUM(B25:D25)</f>
        <v>0</v>
      </c>
      <c r="F25" s="10" t="n">
        <v>-11</v>
      </c>
      <c r="G25" s="10" t="n">
        <v>22</v>
      </c>
      <c r="H25" s="10" t="n">
        <v>-1</v>
      </c>
      <c r="I25" s="11" t="n">
        <f aca="false">I427-SUM(F25:H25)</f>
        <v>-6</v>
      </c>
      <c r="J25" s="10" t="n">
        <v>-4</v>
      </c>
      <c r="K25" s="10" t="n">
        <v>19</v>
      </c>
    </row>
    <row r="26" customFormat="false" ht="15" hidden="false" customHeight="false" outlineLevel="0" collapsed="false">
      <c r="A26" s="12" t="s">
        <v>53</v>
      </c>
      <c r="B26" s="13" t="n">
        <v>-130</v>
      </c>
      <c r="C26" s="13" t="n">
        <v>1294</v>
      </c>
      <c r="D26" s="13" t="n">
        <v>-96</v>
      </c>
      <c r="E26" s="14" t="n">
        <f aca="false">E428-SUM(B26:D26)</f>
        <v>484</v>
      </c>
      <c r="F26" s="13" t="n">
        <v>254</v>
      </c>
      <c r="G26" s="13" t="n">
        <v>514</v>
      </c>
      <c r="H26" s="13" t="n">
        <v>452</v>
      </c>
      <c r="I26" s="14" t="n">
        <f aca="false">I428-SUM(F26:H26)</f>
        <v>3664</v>
      </c>
      <c r="J26" s="13" t="n">
        <v>4745</v>
      </c>
      <c r="K26" s="13" t="n">
        <v>668</v>
      </c>
    </row>
    <row r="27" customFormat="false" ht="15" hidden="false" customHeight="false" outlineLevel="0" collapsed="false">
      <c r="A27" s="9" t="s">
        <v>54</v>
      </c>
      <c r="B27" s="15" t="n">
        <v>-0.47</v>
      </c>
      <c r="C27" s="15" t="n">
        <v>4.72</v>
      </c>
      <c r="D27" s="15" t="n">
        <v>-0.35</v>
      </c>
      <c r="E27" s="16" t="n">
        <f aca="false">E26/E29</f>
        <v>1.74729241877256</v>
      </c>
      <c r="F27" s="15" t="n">
        <v>0.92</v>
      </c>
      <c r="G27" s="15" t="n">
        <v>1.89</v>
      </c>
      <c r="H27" s="15" t="n">
        <v>1.66</v>
      </c>
      <c r="I27" s="16" t="n">
        <f aca="false">I26/I29</f>
        <v>13.6208178438662</v>
      </c>
      <c r="J27" s="15" t="n">
        <v>17.65</v>
      </c>
      <c r="K27" s="15" t="n">
        <v>2.49</v>
      </c>
    </row>
    <row r="28" customFormat="false" ht="15" hidden="false" customHeight="false" outlineLevel="0" collapsed="false">
      <c r="A28" s="9" t="s">
        <v>55</v>
      </c>
      <c r="B28" s="15" t="n">
        <v>-0.47</v>
      </c>
      <c r="C28" s="15" t="n">
        <v>4.65</v>
      </c>
      <c r="D28" s="15" t="n">
        <v>-0.35</v>
      </c>
      <c r="E28" s="16" t="n">
        <f aca="false">E26/E30</f>
        <v>1.69824561403509</v>
      </c>
      <c r="F28" s="15" t="n">
        <v>0.91</v>
      </c>
      <c r="G28" s="15" t="n">
        <v>1.86</v>
      </c>
      <c r="H28" s="15" t="n">
        <v>1.64</v>
      </c>
      <c r="I28" s="16" t="n">
        <f aca="false">I26/I30</f>
        <v>13.3722627737226</v>
      </c>
      <c r="J28" s="15" t="n">
        <v>17.44</v>
      </c>
      <c r="K28" s="15" t="n">
        <v>2.47</v>
      </c>
    </row>
    <row r="29" customFormat="false" ht="15" hidden="false" customHeight="false" outlineLevel="0" collapsed="false">
      <c r="A29" s="9" t="s">
        <v>56</v>
      </c>
      <c r="B29" s="10" t="n">
        <v>274</v>
      </c>
      <c r="C29" s="10" t="n">
        <v>274</v>
      </c>
      <c r="D29" s="10" t="n">
        <v>275</v>
      </c>
      <c r="E29" s="11" t="n">
        <f aca="false">4*E429-SUM(B29:D29)</f>
        <v>277</v>
      </c>
      <c r="F29" s="10" t="n">
        <v>275</v>
      </c>
      <c r="G29" s="10" t="n">
        <v>272</v>
      </c>
      <c r="H29" s="10" t="n">
        <v>272</v>
      </c>
      <c r="I29" s="11" t="n">
        <f aca="false">4*I429-SUM(F29:H29)</f>
        <v>269</v>
      </c>
      <c r="J29" s="10" t="n">
        <v>269</v>
      </c>
      <c r="K29" s="10" t="n">
        <v>268</v>
      </c>
    </row>
    <row r="30" customFormat="false" ht="15" hidden="false" customHeight="false" outlineLevel="0" collapsed="false">
      <c r="A30" s="9" t="s">
        <v>57</v>
      </c>
      <c r="B30" s="10" t="n">
        <v>274</v>
      </c>
      <c r="C30" s="10" t="n">
        <v>278</v>
      </c>
      <c r="D30" s="10" t="n">
        <v>275</v>
      </c>
      <c r="E30" s="11" t="n">
        <f aca="false">4*E430-SUM(B30:D30)</f>
        <v>285</v>
      </c>
      <c r="F30" s="10" t="n">
        <v>279</v>
      </c>
      <c r="G30" s="10" t="n">
        <v>276</v>
      </c>
      <c r="H30" s="10" t="n">
        <v>275</v>
      </c>
      <c r="I30" s="11" t="n">
        <f aca="false">4*I430-SUM(F30:H30)</f>
        <v>274</v>
      </c>
      <c r="J30" s="10" t="n">
        <v>272</v>
      </c>
      <c r="K30" s="10" t="n">
        <v>270</v>
      </c>
    </row>
    <row r="32" customFormat="false" ht="15" hidden="false" customHeight="false" outlineLevel="0" collapsed="false">
      <c r="A32" s="8" t="s">
        <v>58</v>
      </c>
      <c r="B32" s="8"/>
      <c r="C32" s="8"/>
      <c r="D32" s="8"/>
      <c r="E32" s="8"/>
      <c r="F32" s="8"/>
      <c r="G32" s="8"/>
      <c r="H32" s="8"/>
      <c r="I32" s="8"/>
      <c r="J32" s="8"/>
      <c r="K32" s="8"/>
    </row>
    <row r="33" customFormat="false" ht="15" hidden="false" customHeight="false" outlineLevel="0" collapsed="false">
      <c r="A33" s="5" t="s">
        <v>59</v>
      </c>
      <c r="B33" s="17"/>
      <c r="C33" s="17"/>
      <c r="D33" s="17"/>
      <c r="E33" s="17"/>
      <c r="F33" s="18" t="n">
        <f aca="false">IF(AND(ISNUMBER(F12),ISNUMBER(B12),B12&lt;&gt;0),F12/B12-1,"")</f>
        <v>0.10633608815427</v>
      </c>
      <c r="G33" s="18" t="n">
        <f aca="false">IF(AND(ISNUMBER(G12),ISNUMBER(C12),C12&lt;&gt;0),G12/C12-1,"")</f>
        <v>0.110555826426133</v>
      </c>
      <c r="H33" s="18" t="n">
        <f aca="false">IF(AND(ISNUMBER(H12),ISNUMBER(D12),D12&lt;&gt;0),H12/D12-1,"")</f>
        <v>0.118478626725008</v>
      </c>
      <c r="I33" s="18" t="n">
        <f aca="false">IF(AND(ISNUMBER(I12),ISNUMBER(E12),E12&lt;&gt;0),I12/E12-1,"")</f>
        <v>0.0376965334343626</v>
      </c>
      <c r="J33" s="18" t="n">
        <f aca="false">IF(AND(ISNUMBER(J12),ISNUMBER(F12),F12&lt;&gt;0),J12/F12-1,"")</f>
        <v>0.162724103585657</v>
      </c>
      <c r="K33" s="18" t="n">
        <f aca="false">IF(AND(ISNUMBER(K12),ISNUMBER(G12),G12&lt;&gt;0),K12/G12-1,"")</f>
        <v>0.218746570080123</v>
      </c>
    </row>
    <row r="34" customFormat="false" ht="15" hidden="false" customHeight="false" outlineLevel="0" collapsed="false">
      <c r="A34" s="9" t="s">
        <v>60</v>
      </c>
      <c r="B34" s="17"/>
      <c r="C34" s="17"/>
      <c r="D34" s="17"/>
      <c r="E34" s="17"/>
      <c r="F34" s="18" t="n">
        <f aca="false">IF(AND(ISNUMBER(F10),ISNUMBER(B10),B10&lt;&gt;0),F10/B10-1,"")</f>
        <v>0.160353884434614</v>
      </c>
      <c r="G34" s="18" t="n">
        <f aca="false">IF(AND(ISNUMBER(G10),ISNUMBER(C10),C10&lt;&gt;0),G10/C10-1,"")</f>
        <v>0.16690510252742</v>
      </c>
      <c r="H34" s="18" t="n">
        <f aca="false">IF(AND(ISNUMBER(H10),ISNUMBER(D10),D10&lt;&gt;0),H10/D10-1,"")</f>
        <v>0.111531190926276</v>
      </c>
      <c r="I34" s="18" t="n">
        <f aca="false">IF(AND(ISNUMBER(I10),ISNUMBER(E10),E10&lt;&gt;0),I10/E10-1,"")</f>
        <v>0.0191420270039309</v>
      </c>
      <c r="J34" s="18" t="n">
        <f aca="false">IF(AND(ISNUMBER(J10),ISNUMBER(F10),F10&lt;&gt;0),J10/F10-1,"")</f>
        <v>0.25184655706457</v>
      </c>
      <c r="K34" s="18" t="n">
        <f aca="false">IF(AND(ISNUMBER(K10),ISNUMBER(G10),G10&lt;&gt;0),K10/G10-1,"")</f>
        <v>0.319779321618308</v>
      </c>
    </row>
    <row r="35" customFormat="false" ht="15" hidden="false" customHeight="false" outlineLevel="0" collapsed="false">
      <c r="A35" s="9" t="s">
        <v>61</v>
      </c>
      <c r="B35" s="17"/>
      <c r="C35" s="17"/>
      <c r="D35" s="17"/>
      <c r="E35" s="17"/>
      <c r="F35" s="18" t="n">
        <f aca="false">IF(AND(ISNUMBER(F11),ISNUMBER(B11),B11&lt;&gt;0),F11/B11-1,"")</f>
        <v>0.0529928610653487</v>
      </c>
      <c r="G35" s="18" t="n">
        <f aca="false">IF(AND(ISNUMBER(G11),ISNUMBER(C11),C11&lt;&gt;0),G11/C11-1,"")</f>
        <v>0.0516209476309226</v>
      </c>
      <c r="H35" s="18" t="n">
        <f aca="false">IF(AND(ISNUMBER(H11),ISNUMBER(D11),D11&lt;&gt;0),H11/D11-1,"")</f>
        <v>0.128622688379796</v>
      </c>
      <c r="I35" s="18" t="n">
        <f aca="false">IF(AND(ISNUMBER(I11),ISNUMBER(E11),E11&lt;&gt;0),I11/E11-1,"")</f>
        <v>0.0605352591333901</v>
      </c>
      <c r="J35" s="18" t="n">
        <f aca="false">IF(AND(ISNUMBER(J11),ISNUMBER(F11),F11&lt;&gt;0),J11/F11-1,"")</f>
        <v>0.0649282920469361</v>
      </c>
      <c r="K35" s="18" t="n">
        <f aca="false">IF(AND(ISNUMBER(K11),ISNUMBER(G11),G11&lt;&gt;0),K11/G11-1,"")</f>
        <v>0.10149395304719</v>
      </c>
    </row>
    <row r="36" customFormat="false" ht="15" hidden="false" customHeight="false" outlineLevel="0" collapsed="false">
      <c r="A36" s="5" t="s">
        <v>62</v>
      </c>
      <c r="B36" s="18" t="n">
        <f aca="false">IF(AND(ISNUMBER(B15),ISNUMBER(B12),B12&lt;&gt;0),B15/B12,"")</f>
        <v>0.158402203856749</v>
      </c>
      <c r="C36" s="18" t="n">
        <f aca="false">IF(AND(ISNUMBER(C15),ISNUMBER(C12),C12&lt;&gt;0),C15/C12,"")</f>
        <v>0.207459775719161</v>
      </c>
      <c r="D36" s="18" t="n">
        <f aca="false">IF(AND(ISNUMBER(D15),ISNUMBER(D12),D12&lt;&gt;0),D15/D12,"")</f>
        <v>0.124424997195108</v>
      </c>
      <c r="E36" s="18" t="n">
        <f aca="false">IF(AND(ISNUMBER(E15),ISNUMBER(E12),E12&lt;&gt;0),E15/E12,"")</f>
        <v>0.201174464860769</v>
      </c>
      <c r="F36" s="18" t="n">
        <f aca="false">IF(AND(ISNUMBER(F15),ISNUMBER(F12),F12&lt;&gt;0),F15/F12,"")</f>
        <v>0.183017928286853</v>
      </c>
      <c r="G36" s="18" t="n">
        <f aca="false">IF(AND(ISNUMBER(G15),ISNUMBER(G12),G12&lt;&gt;0),G15/G12,"")</f>
        <v>0.202612226978378</v>
      </c>
      <c r="H36" s="18" t="n">
        <f aca="false">IF(AND(ISNUMBER(H15),ISNUMBER(H12),H12&lt;&gt;0),H15/H12,"")</f>
        <v>0.190289898685926</v>
      </c>
      <c r="I36" s="18" t="n">
        <f aca="false">IF(AND(ISNUMBER(I15),ISNUMBER(I12),I12&lt;&gt;0),I15/I12,"")</f>
        <v>0.211938663745893</v>
      </c>
      <c r="J36" s="18" t="n">
        <f aca="false">IF(AND(ISNUMBER(J15),ISNUMBER(J12),J12&lt;&gt;0),J15/J12,"")</f>
        <v>0.190705643002463</v>
      </c>
      <c r="K36" s="18" t="n">
        <f aca="false">IF(AND(ISNUMBER(K15),ISNUMBER(K12),K12&lt;&gt;0),K15/K12,"")</f>
        <v>0.212536023054755</v>
      </c>
    </row>
    <row r="37" customFormat="false" ht="15" hidden="false" customHeight="false" outlineLevel="0" collapsed="false">
      <c r="A37" s="9" t="s">
        <v>63</v>
      </c>
      <c r="B37" s="18" t="n">
        <f aca="false">IF(ISNUMBER(B10),(B10-B13)/B10,"")</f>
        <v>-0.0210118883052253</v>
      </c>
      <c r="C37" s="18" t="n">
        <f aca="false">IF(ISNUMBER(C10),(C10-C13)/C10,"")</f>
        <v>0.081306628516929</v>
      </c>
      <c r="D37" s="18" t="n">
        <f aca="false">IF(ISNUMBER(D10),(D10-D13)/D10,"")</f>
        <v>0.0404536862003781</v>
      </c>
      <c r="E37" s="18" t="n">
        <f aca="false">IF(ISNUMBER(E10),(E10-E13)/E10,"")</f>
        <v>0.0827209024098445</v>
      </c>
      <c r="F37" s="18" t="n">
        <f aca="false">IF(ISNUMBER(F10),(F10-F13)/F10,"")</f>
        <v>0.0671908506075769</v>
      </c>
      <c r="G37" s="18" t="n">
        <f aca="false">IF(ISNUMBER(G10),(G10-G13)/G10,"")</f>
        <v>0.128524724152023</v>
      </c>
      <c r="H37" s="18" t="n">
        <f aca="false">IF(ISNUMBER(H10),(H10-H13)/H10,"")</f>
        <v>0.121598639455782</v>
      </c>
      <c r="I37" s="18" t="n">
        <f aca="false">IF(ISNUMBER(I10),(I10-I13)/I10,"")</f>
        <v>0.0920677511319805</v>
      </c>
      <c r="J37" s="18" t="n">
        <f aca="false">IF(ISNUMBER(J10),(J10-J13)/J10,"")</f>
        <v>0.102778835173201</v>
      </c>
      <c r="K37" s="18" t="n">
        <f aca="false">IF(ISNUMBER(K10),(K10-K13)/K10,"")</f>
        <v>0.130980027868091</v>
      </c>
    </row>
    <row r="38" customFormat="false" ht="15" hidden="false" customHeight="false" outlineLevel="0" collapsed="false">
      <c r="A38" s="9" t="s">
        <v>64</v>
      </c>
      <c r="B38" s="18" t="n">
        <f aca="false">IF(ISNUMBER(B11),(B11-B14)/B11,"")</f>
        <v>0.336353651839649</v>
      </c>
      <c r="C38" s="18" t="n">
        <f aca="false">IF(ISNUMBER(C11),(C11-C14)/C11,"")</f>
        <v>0.339401496259352</v>
      </c>
      <c r="D38" s="18" t="n">
        <f aca="false">IF(ISNUMBER(D11),(D11-D14)/D11,"")</f>
        <v>0.247032845707977</v>
      </c>
      <c r="E38" s="18" t="n">
        <f aca="false">IF(ISNUMBER(E11),(E11-E14)/E11,"")</f>
        <v>0.348555649957519</v>
      </c>
      <c r="F38" s="18" t="n">
        <f aca="false">IF(ISNUMBER(F11),(F11-F14)/F11,"")</f>
        <v>0.309778357235984</v>
      </c>
      <c r="G38" s="18" t="n">
        <f aca="false">IF(ISNUMBER(G11),(G11-G14)/G11,"")</f>
        <v>0.288593787052407</v>
      </c>
      <c r="H38" s="18" t="n">
        <f aca="false">IF(ISNUMBER(H11),(H11-H14)/H11,"")</f>
        <v>0.289312790413304</v>
      </c>
      <c r="I38" s="18" t="n">
        <f aca="false">IF(ISNUMBER(I11),(I11-I14)/I11,"")</f>
        <v>0.354896855597837</v>
      </c>
      <c r="J38" s="18" t="n">
        <f aca="false">IF(ISNUMBER(J11),(J11-J14)/J11,"")</f>
        <v>0.30386875612145</v>
      </c>
      <c r="K38" s="18" t="n">
        <f aca="false">IF(ISNUMBER(K11),(K11-K14)/K11,"")</f>
        <v>0.326157158234661</v>
      </c>
    </row>
    <row r="39" customFormat="false" ht="15" hidden="false" customHeight="false" outlineLevel="0" collapsed="false">
      <c r="A39" s="5" t="s">
        <v>65</v>
      </c>
      <c r="B39" s="18" t="n">
        <f aca="false">IF(AND(ISNUMBER(B16),ISNUMBER(B12),B12&lt;&gt;0),B16/B12,"")</f>
        <v>0.165564738292011</v>
      </c>
      <c r="C39" s="18" t="n">
        <f aca="false">IF(AND(ISNUMBER(C16),ISNUMBER(C12),C12&lt;&gt;0),C16/C12,"")</f>
        <v>0.114334470989761</v>
      </c>
      <c r="D39" s="18" t="n">
        <f aca="false">IF(AND(ISNUMBER(D16),ISNUMBER(D12),D12&lt;&gt;0),D16/D12,"")</f>
        <v>0.137551890497027</v>
      </c>
      <c r="E39" s="18" t="n">
        <f aca="false">IF(AND(ISNUMBER(E16),ISNUMBER(E12),E12&lt;&gt;0),E16/E12,"")</f>
        <v>0.119909073688199</v>
      </c>
      <c r="F39" s="18" t="n">
        <f aca="false">IF(AND(ISNUMBER(F16),ISNUMBER(F12),F12&lt;&gt;0),F16/F12,"")</f>
        <v>0.147908366533865</v>
      </c>
      <c r="G39" s="18" t="n">
        <f aca="false">IF(AND(ISNUMBER(G16),ISNUMBER(G12),G12&lt;&gt;0),G16/G12,"")</f>
        <v>0.130062561738558</v>
      </c>
      <c r="H39" s="18" t="n">
        <f aca="false">IF(AND(ISNUMBER(H16),ISNUMBER(H12),H12&lt;&gt;0),H16/H12,"")</f>
        <v>0.122479687029792</v>
      </c>
      <c r="I39" s="18" t="n">
        <f aca="false">IF(AND(ISNUMBER(I16),ISNUMBER(I12),I12&lt;&gt;0),I16/I12,"")</f>
        <v>0.123676524278934</v>
      </c>
      <c r="J39" s="18" t="n">
        <f aca="false">IF(AND(ISNUMBER(J16),ISNUMBER(J12),J12&lt;&gt;0),J16/J12,"")</f>
        <v>0.138987043580683</v>
      </c>
      <c r="K39" s="18" t="n">
        <f aca="false">IF(AND(ISNUMBER(K16),ISNUMBER(K12),K12&lt;&gt;0),K16/K12,"")</f>
        <v>0.123559077809798</v>
      </c>
    </row>
    <row r="40" customFormat="false" ht="15" hidden="false" customHeight="false" outlineLevel="0" collapsed="false">
      <c r="A40" s="5" t="s">
        <v>66</v>
      </c>
      <c r="B40" s="18" t="n">
        <f aca="false">IF(AND(ISNUMBER(B17),ISNUMBER(B12),B12&lt;&gt;0),B17/B12,"")</f>
        <v>0.0326446280991736</v>
      </c>
      <c r="C40" s="18" t="n">
        <f aca="false">IF(AND(ISNUMBER(C17),ISNUMBER(C12),C12&lt;&gt;0),C17/C12,"")</f>
        <v>0.0288883471477328</v>
      </c>
      <c r="D40" s="18" t="n">
        <f aca="false">IF(AND(ISNUMBER(D17),ISNUMBER(D12),D12&lt;&gt;0),D17/D12,"")</f>
        <v>0.0272635476270616</v>
      </c>
      <c r="E40" s="18" t="n">
        <f aca="false">IF(AND(ISNUMBER(E17),ISNUMBER(E12),E12&lt;&gt;0),E17/E12,"")</f>
        <v>0.0250994506535329</v>
      </c>
      <c r="F40" s="18" t="n">
        <f aca="false">IF(AND(ISNUMBER(F17),ISNUMBER(F12),F12&lt;&gt;0),F17/F12,"")</f>
        <v>0.0297559760956175</v>
      </c>
      <c r="G40" s="18" t="n">
        <f aca="false">IF(AND(ISNUMBER(G17),ISNUMBER(G12),G12&lt;&gt;0),G17/G12,"")</f>
        <v>0.0309515969706948</v>
      </c>
      <c r="H40" s="18" t="n">
        <f aca="false">IF(AND(ISNUMBER(H17),ISNUMBER(H12),H12&lt;&gt;0),H17/H12,"")</f>
        <v>0.0310963988363928</v>
      </c>
      <c r="I40" s="18" t="n">
        <f aca="false">IF(AND(ISNUMBER(I17),ISNUMBER(I12),I12&lt;&gt;0),I17/I12,"")</f>
        <v>0.0334063526834611</v>
      </c>
      <c r="J40" s="18" t="n">
        <f aca="false">IF(AND(ISNUMBER(J17),ISNUMBER(J12),J12&lt;&gt;0),J17/J12,"")</f>
        <v>0.032551665060499</v>
      </c>
      <c r="K40" s="18" t="n">
        <f aca="false">IF(AND(ISNUMBER(K17),ISNUMBER(K12),K12&lt;&gt;0),K17/K12,"")</f>
        <v>0.0300792507204611</v>
      </c>
    </row>
    <row r="41" customFormat="false" ht="15" hidden="false" customHeight="false" outlineLevel="0" collapsed="false">
      <c r="A41" s="5" t="s">
        <v>67</v>
      </c>
      <c r="B41" s="18" t="n">
        <f aca="false">IF(AND(ISNUMBER(B18),ISNUMBER(B12),B12&lt;&gt;0),B18/B12,"")</f>
        <v>-0.0398071625344353</v>
      </c>
      <c r="C41" s="18" t="n">
        <f aca="false">IF(AND(ISNUMBER(C18),ISNUMBER(C12),C12&lt;&gt;0),C18/C12,"")</f>
        <v>0.0642369575816675</v>
      </c>
      <c r="D41" s="18" t="n">
        <f aca="false">IF(AND(ISNUMBER(D18),ISNUMBER(D12),D12&lt;&gt;0),D18/D12,"")</f>
        <v>-0.040278245259733</v>
      </c>
      <c r="E41" s="18" t="n">
        <f aca="false">IF(AND(ISNUMBER(E18),ISNUMBER(E12),E12&lt;&gt;0),E18/E12,"")</f>
        <v>0.0560712256109112</v>
      </c>
      <c r="F41" s="18" t="n">
        <f aca="false">IF(AND(ISNUMBER(F18),ISNUMBER(F12),F12&lt;&gt;0),F18/F12,"")</f>
        <v>0.00535358565737052</v>
      </c>
      <c r="G41" s="18" t="n">
        <f aca="false">IF(AND(ISNUMBER(G18),ISNUMBER(G12),G12&lt;&gt;0),G18/G12,"")</f>
        <v>0.0414883108330589</v>
      </c>
      <c r="H41" s="18" t="n">
        <f aca="false">IF(AND(ISNUMBER(H18),ISNUMBER(H12),H12&lt;&gt;0),H18/H12,"")</f>
        <v>0.0367138128197412</v>
      </c>
      <c r="I41" s="18" t="n">
        <f aca="false">IF(AND(ISNUMBER(I18),ISNUMBER(I12),I12&lt;&gt;0),I18/I12,"")</f>
        <v>0.0548557867834976</v>
      </c>
      <c r="J41" s="18" t="n">
        <f aca="false">IF(AND(ISNUMBER(J18),ISNUMBER(J12),J12&lt;&gt;0),J18/J12,"")</f>
        <v>0.0191669343612807</v>
      </c>
      <c r="K41" s="18" t="n">
        <f aca="false">IF(AND(ISNUMBER(K18),ISNUMBER(K12),K12&lt;&gt;0),K18/K12,"")</f>
        <v>0.0588076368876081</v>
      </c>
    </row>
    <row r="42" customFormat="false" ht="15" hidden="false" customHeight="false" outlineLevel="0" collapsed="false">
      <c r="A42" s="5" t="s">
        <v>68</v>
      </c>
      <c r="B42" s="11" t="n">
        <f aca="false">B18+B19+B20</f>
        <v>-169</v>
      </c>
      <c r="C42" s="11" t="n">
        <f aca="false">C18+C19+C20</f>
        <v>721</v>
      </c>
      <c r="D42" s="11" t="n">
        <f aca="false">D18+D19+D20</f>
        <v>-193</v>
      </c>
      <c r="E42" s="11" t="n">
        <f aca="false">E18+E19+E20</f>
        <v>768</v>
      </c>
      <c r="F42" s="11" t="n">
        <f aca="false">F18+F19+F20</f>
        <v>214</v>
      </c>
      <c r="G42" s="11" t="n">
        <f aca="false">G18+G19+G20</f>
        <v>530</v>
      </c>
      <c r="H42" s="11" t="n">
        <f aca="false">H18+H19+H20</f>
        <v>525</v>
      </c>
      <c r="I42" s="11" t="n">
        <f aca="false">I18+I19+I20</f>
        <v>764</v>
      </c>
      <c r="J42" s="11" t="n">
        <f aca="false">J18+J19+J20</f>
        <v>341</v>
      </c>
      <c r="K42" s="11" t="n">
        <f aca="false">K18+K19+K20</f>
        <v>845</v>
      </c>
    </row>
    <row r="43" customFormat="false" ht="15" hidden="false" customHeight="false" outlineLevel="0" collapsed="false">
      <c r="A43" s="5" t="s">
        <v>69</v>
      </c>
      <c r="B43" s="18" t="n">
        <f aca="false">IF(AND(ISNUMBER(B26),ISNUMBER(B12),B12&lt;&gt;0),B26/B12,"")</f>
        <v>-0.0179063360881543</v>
      </c>
      <c r="C43" s="18" t="n">
        <f aca="false">IF(AND(ISNUMBER(C26),ISNUMBER(C12),C12&lt;&gt;0),C26/C12,"")</f>
        <v>0.157727937591419</v>
      </c>
      <c r="D43" s="18" t="n">
        <f aca="false">IF(AND(ISNUMBER(D26),ISNUMBER(D12),D12&lt;&gt;0),D26/D12,"")</f>
        <v>-0.010770784247728</v>
      </c>
      <c r="E43" s="18" t="n">
        <f aca="false">IF(AND(ISNUMBER(E26),ISNUMBER(E12),E12&lt;&gt;0),E26/E12,"")</f>
        <v>0.0458420155332449</v>
      </c>
      <c r="F43" s="18" t="n">
        <f aca="false">IF(AND(ISNUMBER(F26),ISNUMBER(F12),F12&lt;&gt;0),F26/F12,"")</f>
        <v>0.0316235059760956</v>
      </c>
      <c r="G43" s="18" t="n">
        <f aca="false">IF(AND(ISNUMBER(G26),ISNUMBER(G12),G12&lt;&gt;0),G26/G12,"")</f>
        <v>0.0564153221380749</v>
      </c>
      <c r="H43" s="18" t="n">
        <f aca="false">IF(AND(ISNUMBER(H26),ISNUMBER(H12),H12&lt;&gt;0),H26/H12,"")</f>
        <v>0.0453405557227405</v>
      </c>
      <c r="I43" s="18" t="n">
        <f aca="false">IF(AND(ISNUMBER(I26),ISNUMBER(I12),I12&lt;&gt;0),I26/I12,"")</f>
        <v>0.33442862358525</v>
      </c>
      <c r="J43" s="18" t="n">
        <f aca="false">IF(AND(ISNUMBER(J26),ISNUMBER(J12),J12&lt;&gt;0),J26/J12,"")</f>
        <v>0.508084377342328</v>
      </c>
      <c r="K43" s="18" t="n">
        <f aca="false">IF(AND(ISNUMBER(K26),ISNUMBER(K12),K12&lt;&gt;0),K26/K12,"")</f>
        <v>0.0601585014409222</v>
      </c>
    </row>
    <row r="44" customFormat="false" ht="15" hidden="false" customHeight="false" outlineLevel="0" collapsed="false">
      <c r="A44" s="5" t="s">
        <v>70</v>
      </c>
      <c r="B44" s="18" t="str">
        <f aca="false">IF(AND(ISNUMBER(B22),B22&gt;0),B23/B22,"")</f>
        <v/>
      </c>
      <c r="C44" s="18" t="n">
        <f aca="false">IF(AND(ISNUMBER(C22),C22&gt;0),C23/C22,"")</f>
        <v>0.200998751560549</v>
      </c>
      <c r="D44" s="18" t="str">
        <f aca="false">IF(AND(ISNUMBER(D22),D22&gt;0),D23/D22,"")</f>
        <v/>
      </c>
      <c r="E44" s="18" t="n">
        <f aca="false">IF(AND(ISNUMBER(E22),E22&gt;0),E23/E22,"")</f>
        <v>0.565529622980251</v>
      </c>
      <c r="F44" s="18" t="n">
        <f aca="false">IF(AND(ISNUMBER(F22),F22&gt;0),F23/F22,"")</f>
        <v>0.204819277108434</v>
      </c>
      <c r="G44" s="18" t="n">
        <f aca="false">IF(AND(ISNUMBER(G22),G22&gt;0),G23/G22,"")</f>
        <v>0.237209302325581</v>
      </c>
      <c r="H44" s="18" t="n">
        <f aca="false">IF(AND(ISNUMBER(H22),H22&gt;0),H23/H22,"")</f>
        <v>0.392761394101877</v>
      </c>
      <c r="I44" s="18" t="n">
        <f aca="false">IF(AND(ISNUMBER(I22),I22&gt;0),I23/I22,"")</f>
        <v>-2.32126696832579</v>
      </c>
      <c r="J44" s="18" t="n">
        <f aca="false">IF(AND(ISNUMBER(J22),J22&gt;0),J23/J22,"")</f>
        <v>0.0693709582598472</v>
      </c>
      <c r="K44" s="18" t="n">
        <f aca="false">IF(AND(ISNUMBER(K22),K22&gt;0),K23/K22,"")</f>
        <v>0.298378378378378</v>
      </c>
    </row>
    <row r="45" customFormat="false" ht="15" hidden="false" customHeight="false" outlineLevel="0" collapsed="false">
      <c r="A45" s="5" t="s">
        <v>71</v>
      </c>
      <c r="B45" s="18" t="n">
        <f aca="false">IF(ISNUMBER(B57),B57/B12,"")</f>
        <v>0.0260330578512397</v>
      </c>
      <c r="C45" s="18" t="n">
        <f aca="false">IF(ISNUMBER(C57),C57/C12,"")</f>
        <v>0.0638712823013164</v>
      </c>
      <c r="D45" s="18" t="n">
        <f aca="false">IF(ISNUMBER(D57),D57/D12,"")</f>
        <v>0.0272635476270616</v>
      </c>
      <c r="E45" s="18" t="n">
        <f aca="false">IF(ISNUMBER(E57),E57/E12,"")</f>
        <v>0.102197385868536</v>
      </c>
      <c r="F45" s="18" t="n">
        <f aca="false">IF(ISNUMBER(F57),F57/F12,"")</f>
        <v>0.0568974103585657</v>
      </c>
      <c r="G45" s="18" t="n">
        <f aca="false">IF(ISNUMBER(G57),G57/G12,"")</f>
        <v>0.084513225771046</v>
      </c>
      <c r="H45" s="18" t="n">
        <f aca="false">IF(ISNUMBER(H57),H57/H12,"")</f>
        <v>0.0813521917945631</v>
      </c>
      <c r="I45" s="18" t="n">
        <f aca="false">IF(ISNUMBER(I57),I57/I12,"")</f>
        <v>0.105695509309967</v>
      </c>
      <c r="J45" s="18" t="n">
        <f aca="false">IF(ISNUMBER(J57),J57/J12,"")</f>
        <v>0.095941749651997</v>
      </c>
      <c r="K45" s="18" t="n">
        <f aca="false">IF(ISNUMBER(K57),K57/K12,"")</f>
        <v>0.11257204610951</v>
      </c>
    </row>
    <row r="47" customFormat="false" ht="15" hidden="false" customHeight="false" outlineLevel="0" collapsed="false">
      <c r="A47" s="8" t="s">
        <v>72</v>
      </c>
      <c r="B47" s="8"/>
      <c r="C47" s="8"/>
      <c r="D47" s="8"/>
      <c r="E47" s="8"/>
      <c r="F47" s="8"/>
      <c r="G47" s="8"/>
      <c r="H47" s="8"/>
      <c r="I47" s="8"/>
      <c r="J47" s="8"/>
      <c r="K47" s="8"/>
    </row>
    <row r="48" customFormat="false" ht="15" hidden="false" customHeight="false" outlineLevel="0" collapsed="false">
      <c r="A48" s="5" t="s">
        <v>73</v>
      </c>
      <c r="B48" s="11" t="n">
        <f aca="false">B293</f>
        <v>-106</v>
      </c>
      <c r="C48" s="11" t="n">
        <f aca="false">C293</f>
        <v>1280</v>
      </c>
      <c r="D48" s="11" t="n">
        <f aca="false">D293</f>
        <v>-99</v>
      </c>
      <c r="E48" s="11" t="n">
        <f aca="false">E293</f>
        <v>484</v>
      </c>
      <c r="F48" s="11" t="n">
        <f aca="false">F293</f>
        <v>264</v>
      </c>
      <c r="G48" s="11" t="n">
        <f aca="false">G293</f>
        <v>492</v>
      </c>
      <c r="H48" s="11" t="n">
        <f aca="false">H293</f>
        <v>453</v>
      </c>
      <c r="I48" s="11" t="n">
        <f aca="false">I293</f>
        <v>3670</v>
      </c>
      <c r="J48" s="11" t="n">
        <f aca="false">J293</f>
        <v>4750</v>
      </c>
      <c r="K48" s="11" t="n">
        <f aca="false">K293</f>
        <v>648</v>
      </c>
    </row>
    <row r="49" customFormat="false" ht="15" hidden="false" customHeight="false" outlineLevel="0" collapsed="false">
      <c r="A49" s="9" t="s">
        <v>74</v>
      </c>
      <c r="B49" s="10" t="n">
        <v>148</v>
      </c>
      <c r="C49" s="10" t="n">
        <v>62</v>
      </c>
      <c r="D49" s="10" t="n">
        <v>209</v>
      </c>
      <c r="E49" s="11" t="n">
        <f aca="false">E459-SUM(B49:D49)</f>
        <v>7</v>
      </c>
      <c r="F49" s="10" t="n">
        <v>67</v>
      </c>
      <c r="G49" s="10" t="n">
        <v>42</v>
      </c>
      <c r="H49" s="10" t="n">
        <v>83</v>
      </c>
      <c r="I49" s="11" t="n">
        <f aca="false">I459-SUM(F49:H49)</f>
        <v>85</v>
      </c>
      <c r="J49" s="10" t="n">
        <v>94</v>
      </c>
      <c r="K49" s="10" t="n">
        <v>9</v>
      </c>
    </row>
    <row r="50" customFormat="false" ht="15" hidden="false" customHeight="false" outlineLevel="0" collapsed="false">
      <c r="A50" s="9" t="s">
        <v>75</v>
      </c>
      <c r="B50" s="10" t="n">
        <v>5</v>
      </c>
      <c r="C50" s="10" t="n">
        <v>-847</v>
      </c>
      <c r="D50" s="10" t="n">
        <v>0</v>
      </c>
      <c r="E50" s="11" t="n">
        <f aca="false">E460-SUM(B50:D50)</f>
        <v>-182</v>
      </c>
      <c r="F50" s="10" t="n">
        <v>-19</v>
      </c>
      <c r="G50" s="10" t="n">
        <v>0</v>
      </c>
      <c r="H50" s="10" t="n">
        <v>-113</v>
      </c>
      <c r="I50" s="11" t="n">
        <f aca="false">I460-SUM(F50:H50)</f>
        <v>-149</v>
      </c>
      <c r="J50" s="10" t="n">
        <v>-4494</v>
      </c>
      <c r="K50" s="10" t="n">
        <v>48</v>
      </c>
    </row>
    <row r="51" customFormat="false" ht="15" hidden="false" customHeight="false" outlineLevel="0" collapsed="false">
      <c r="A51" s="9" t="s">
        <v>76</v>
      </c>
      <c r="B51" s="10" t="n">
        <v>0</v>
      </c>
      <c r="C51" s="10" t="n">
        <v>-91</v>
      </c>
      <c r="D51" s="10" t="n">
        <v>27</v>
      </c>
      <c r="E51" s="11" t="n">
        <f aca="false">E461-SUM(B51:D51)</f>
        <v>55</v>
      </c>
      <c r="F51" s="10" t="n">
        <v>45</v>
      </c>
      <c r="G51" s="10" t="n">
        <v>34</v>
      </c>
      <c r="H51" s="10" t="n">
        <v>43</v>
      </c>
      <c r="I51" s="11" t="n">
        <f aca="false">I461-SUM(F51:H51)</f>
        <v>58</v>
      </c>
      <c r="J51" s="10" t="n">
        <v>23</v>
      </c>
      <c r="K51" s="10" t="n">
        <v>38</v>
      </c>
    </row>
    <row r="52" customFormat="false" ht="15" hidden="false" customHeight="false" outlineLevel="0" collapsed="false">
      <c r="A52" s="9" t="s">
        <v>77</v>
      </c>
      <c r="B52" s="10" t="n">
        <v>0</v>
      </c>
      <c r="C52" s="10" t="n">
        <v>-254</v>
      </c>
      <c r="D52" s="10" t="n">
        <v>0</v>
      </c>
      <c r="E52" s="11" t="n">
        <f aca="false">E462-SUM(B52:D52)</f>
        <v>0</v>
      </c>
      <c r="F52" s="10" t="n">
        <v>0</v>
      </c>
      <c r="G52" s="10" t="n">
        <v>0</v>
      </c>
      <c r="H52" s="10" t="n">
        <v>0</v>
      </c>
      <c r="I52" s="11" t="n">
        <f aca="false">I462-SUM(F52:H52)</f>
        <v>0</v>
      </c>
      <c r="J52" s="10" t="n">
        <v>0</v>
      </c>
      <c r="K52" s="10" t="n">
        <v>0</v>
      </c>
    </row>
    <row r="53" customFormat="false" ht="15" hidden="false" customHeight="false" outlineLevel="0" collapsed="false">
      <c r="A53" s="9" t="s">
        <v>47</v>
      </c>
      <c r="B53" s="10" t="n">
        <v>-134</v>
      </c>
      <c r="C53" s="10" t="n">
        <v>-134</v>
      </c>
      <c r="D53" s="10" t="n">
        <v>-130</v>
      </c>
      <c r="E53" s="11" t="n">
        <f aca="false">E463-SUM(B53:D53)</f>
        <v>-138</v>
      </c>
      <c r="F53" s="10" t="n">
        <v>-115</v>
      </c>
      <c r="G53" s="10" t="n">
        <v>-110</v>
      </c>
      <c r="H53" s="10" t="n">
        <v>-115</v>
      </c>
      <c r="I53" s="11" t="n">
        <f aca="false">I463-SUM(F53:H53)</f>
        <v>-119</v>
      </c>
      <c r="J53" s="10" t="n">
        <v>-134</v>
      </c>
      <c r="K53" s="10" t="n">
        <v>-119</v>
      </c>
    </row>
    <row r="54" customFormat="false" ht="15" hidden="false" customHeight="false" outlineLevel="0" collapsed="false">
      <c r="A54" s="9" t="s">
        <v>78</v>
      </c>
      <c r="B54" s="10" t="n">
        <v>209</v>
      </c>
      <c r="C54" s="10" t="n">
        <v>237</v>
      </c>
      <c r="D54" s="10" t="n">
        <v>289</v>
      </c>
      <c r="E54" s="11" t="n">
        <f aca="false">E464-SUM(B54:D54)</f>
        <v>273</v>
      </c>
      <c r="F54" s="10" t="n">
        <v>203</v>
      </c>
      <c r="G54" s="10" t="n">
        <v>202</v>
      </c>
      <c r="H54" s="10" t="n">
        <v>212</v>
      </c>
      <c r="I54" s="11" t="n">
        <f aca="false">I464-SUM(F54:H54)</f>
        <v>230</v>
      </c>
      <c r="J54" s="10" t="n">
        <v>341</v>
      </c>
      <c r="K54" s="10" t="n">
        <v>418</v>
      </c>
    </row>
    <row r="55" customFormat="false" ht="15" hidden="false" customHeight="false" outlineLevel="0" collapsed="false">
      <c r="A55" s="9" t="s">
        <v>79</v>
      </c>
      <c r="B55" s="10" t="n">
        <v>4</v>
      </c>
      <c r="C55" s="10" t="n">
        <v>-61</v>
      </c>
      <c r="D55" s="10" t="n">
        <v>-35</v>
      </c>
      <c r="E55" s="11" t="n">
        <f aca="false">E465-SUM(B55:D55)</f>
        <v>-38</v>
      </c>
      <c r="F55" s="10" t="n">
        <v>-55</v>
      </c>
      <c r="G55" s="10" t="n">
        <v>-41</v>
      </c>
      <c r="H55" s="10" t="n">
        <v>-44</v>
      </c>
      <c r="I55" s="11" t="n">
        <f aca="false">I465-SUM(F55:H55)</f>
        <v>-45</v>
      </c>
      <c r="J55" s="10" t="n">
        <v>-27</v>
      </c>
      <c r="K55" s="10" t="n">
        <v>-73</v>
      </c>
    </row>
    <row r="56" customFormat="false" ht="15" hidden="false" customHeight="false" outlineLevel="0" collapsed="false">
      <c r="A56" s="9" t="s">
        <v>80</v>
      </c>
      <c r="B56" s="10" t="n">
        <v>64</v>
      </c>
      <c r="C56" s="10" t="n">
        <v>333</v>
      </c>
      <c r="D56" s="10" t="n">
        <v>-17</v>
      </c>
      <c r="E56" s="11" t="n">
        <f aca="false">E466-SUM(B56:D56)</f>
        <v>615</v>
      </c>
      <c r="F56" s="10" t="n">
        <v>67</v>
      </c>
      <c r="G56" s="10" t="n">
        <v>151</v>
      </c>
      <c r="H56" s="10" t="n">
        <v>292</v>
      </c>
      <c r="I56" s="11" t="n">
        <f aca="false">I466-SUM(F56:H56)</f>
        <v>-2572</v>
      </c>
      <c r="J56" s="10" t="n">
        <v>344</v>
      </c>
      <c r="K56" s="10" t="n">
        <v>279</v>
      </c>
    </row>
    <row r="57" customFormat="false" ht="15" hidden="false" customHeight="false" outlineLevel="0" collapsed="false">
      <c r="A57" s="12" t="s">
        <v>81</v>
      </c>
      <c r="B57" s="13" t="n">
        <v>189</v>
      </c>
      <c r="C57" s="13" t="n">
        <v>524</v>
      </c>
      <c r="D57" s="13" t="n">
        <v>243</v>
      </c>
      <c r="E57" s="14" t="n">
        <f aca="false">E467-SUM(B57:D57)</f>
        <v>1079</v>
      </c>
      <c r="F57" s="13" t="n">
        <v>457</v>
      </c>
      <c r="G57" s="13" t="n">
        <v>770</v>
      </c>
      <c r="H57" s="13" t="n">
        <v>811</v>
      </c>
      <c r="I57" s="14" t="n">
        <f aca="false">I467-SUM(F57:H57)</f>
        <v>1158</v>
      </c>
      <c r="J57" s="13" t="n">
        <v>896</v>
      </c>
      <c r="K57" s="13" t="n">
        <v>1250</v>
      </c>
    </row>
    <row r="58" customFormat="false" ht="15" hidden="false" customHeight="false" outlineLevel="0" collapsed="false">
      <c r="A58" s="9" t="s">
        <v>82</v>
      </c>
      <c r="B58" s="11" t="n">
        <f aca="false">SUM(B48:B56)-B57</f>
        <v>1</v>
      </c>
      <c r="C58" s="11" t="n">
        <f aca="false">SUM(C48:C56)-C57</f>
        <v>1</v>
      </c>
      <c r="D58" s="11" t="n">
        <f aca="false">SUM(D48:D56)-D57</f>
        <v>1</v>
      </c>
      <c r="E58" s="11" t="n">
        <f aca="false">SUM(E48:E56)-E57</f>
        <v>-3</v>
      </c>
      <c r="F58" s="11" t="n">
        <f aca="false">SUM(F48:F56)-F57</f>
        <v>0</v>
      </c>
      <c r="G58" s="11" t="n">
        <f aca="false">SUM(G48:G56)-G57</f>
        <v>0</v>
      </c>
      <c r="H58" s="11" t="n">
        <f aca="false">SUM(H48:H56)-H57</f>
        <v>0</v>
      </c>
      <c r="I58" s="11" t="n">
        <f aca="false">SUM(I48:I56)-I57</f>
        <v>0</v>
      </c>
      <c r="J58" s="11" t="n">
        <f aca="false">SUM(J48:J56)-J57</f>
        <v>1</v>
      </c>
      <c r="K58" s="11" t="n">
        <f aca="false">SUM(K48:K56)-K57</f>
        <v>-2</v>
      </c>
    </row>
    <row r="60" customFormat="false" ht="15" hidden="false" customHeight="false" outlineLevel="0" collapsed="false">
      <c r="A60" s="8" t="s">
        <v>83</v>
      </c>
      <c r="B60" s="8"/>
      <c r="C60" s="8"/>
      <c r="D60" s="8"/>
      <c r="E60" s="8"/>
      <c r="F60" s="8"/>
      <c r="G60" s="8"/>
      <c r="H60" s="8"/>
      <c r="I60" s="8"/>
      <c r="J60" s="8"/>
      <c r="K60" s="8"/>
    </row>
    <row r="61" customFormat="false" ht="15" hidden="false" customHeight="false" outlineLevel="0" collapsed="false">
      <c r="A61" s="2" t="s">
        <v>84</v>
      </c>
    </row>
    <row r="62" customFormat="false" ht="15" hidden="false" customHeight="false" outlineLevel="0" collapsed="false">
      <c r="A62" s="5" t="s">
        <v>85</v>
      </c>
      <c r="B62" s="10" t="n">
        <v>7169</v>
      </c>
      <c r="C62" s="10" t="n">
        <v>8087</v>
      </c>
      <c r="D62" s="10" t="n">
        <v>8921</v>
      </c>
      <c r="E62" s="17"/>
      <c r="F62" s="10" t="n">
        <v>8161</v>
      </c>
      <c r="G62" s="10" t="n">
        <v>9044</v>
      </c>
      <c r="H62" s="10" t="n">
        <v>9826</v>
      </c>
      <c r="I62" s="17"/>
      <c r="J62" s="10" t="n">
        <v>8587</v>
      </c>
      <c r="K62" s="10" t="n">
        <v>10149</v>
      </c>
    </row>
    <row r="63" customFormat="false" ht="15" hidden="false" customHeight="false" outlineLevel="0" collapsed="false">
      <c r="A63" s="5" t="s">
        <v>86</v>
      </c>
      <c r="B63" s="10" t="n">
        <v>6829</v>
      </c>
      <c r="C63" s="10" t="n">
        <v>7938</v>
      </c>
      <c r="D63" s="10" t="n">
        <v>8100</v>
      </c>
      <c r="E63" s="17"/>
      <c r="F63" s="10" t="n">
        <v>7077</v>
      </c>
      <c r="G63" s="10" t="n">
        <v>8074</v>
      </c>
      <c r="H63" s="10" t="n">
        <v>8902</v>
      </c>
      <c r="I63" s="17"/>
      <c r="J63" s="10" t="n">
        <v>7997</v>
      </c>
      <c r="K63" s="10" t="n">
        <v>9068</v>
      </c>
    </row>
    <row r="64" customFormat="false" ht="15" hidden="false" customHeight="false" outlineLevel="0" collapsed="false">
      <c r="A64" s="5" t="s">
        <v>87</v>
      </c>
      <c r="B64" s="18" t="n">
        <f aca="false">IF(AND(ISNUMBER(B62),B63&lt;&gt;0),B62/B63-1,"")</f>
        <v>0.0497876702299018</v>
      </c>
      <c r="C64" s="18" t="n">
        <f aca="false">IF(AND(ISNUMBER(C62),C63&lt;&gt;0),C62/C63-1,"")</f>
        <v>0.0187704711514236</v>
      </c>
      <c r="D64" s="18" t="n">
        <f aca="false">IF(AND(ISNUMBER(D62),D63&lt;&gt;0),D62/D63-1,"")</f>
        <v>0.101358024691358</v>
      </c>
      <c r="E64" s="17"/>
      <c r="F64" s="18" t="n">
        <f aca="false">IF(AND(ISNUMBER(F62),F63&lt;&gt;0),F62/F63-1,"")</f>
        <v>0.153172248127738</v>
      </c>
      <c r="G64" s="18" t="n">
        <f aca="false">IF(AND(ISNUMBER(G62),G63&lt;&gt;0),G62/G63-1,"")</f>
        <v>0.120138716868962</v>
      </c>
      <c r="H64" s="18" t="n">
        <f aca="false">IF(AND(ISNUMBER(H62),H63&lt;&gt;0),H62/H63-1,"")</f>
        <v>0.10379689957313</v>
      </c>
      <c r="I64" s="17"/>
      <c r="J64" s="18" t="n">
        <f aca="false">IF(AND(ISNUMBER(J62),J63&lt;&gt;0),J62/J63-1,"")</f>
        <v>0.0737776666249843</v>
      </c>
      <c r="K64" s="18" t="n">
        <f aca="false">IF(AND(ISNUMBER(K62),K63&lt;&gt;0),K62/K63-1,"")</f>
        <v>0.119210410233789</v>
      </c>
    </row>
    <row r="65" customFormat="false" ht="15" hidden="false" customHeight="false" outlineLevel="0" collapsed="false">
      <c r="A65" s="9" t="s">
        <v>88</v>
      </c>
      <c r="B65" s="10" t="n">
        <v>3554</v>
      </c>
      <c r="C65" s="10" t="n">
        <v>4142</v>
      </c>
      <c r="D65" s="10" t="n">
        <v>5296</v>
      </c>
      <c r="E65" s="17"/>
      <c r="F65" s="10" t="n">
        <v>4296</v>
      </c>
      <c r="G65" s="10" t="n">
        <v>4858</v>
      </c>
      <c r="H65" s="10" t="n">
        <v>5792</v>
      </c>
      <c r="I65" s="17"/>
      <c r="J65" s="10" t="n">
        <v>4636</v>
      </c>
      <c r="K65" s="10" t="n">
        <v>5570</v>
      </c>
    </row>
    <row r="66" customFormat="false" ht="15" hidden="false" customHeight="false" outlineLevel="0" collapsed="false">
      <c r="A66" s="9" t="s">
        <v>89</v>
      </c>
      <c r="B66" s="10" t="n">
        <v>3497</v>
      </c>
      <c r="C66" s="10" t="n">
        <v>4303</v>
      </c>
      <c r="D66" s="10" t="n">
        <v>4797</v>
      </c>
      <c r="E66" s="17"/>
      <c r="F66" s="10" t="n">
        <v>3512</v>
      </c>
      <c r="G66" s="10" t="n">
        <v>4130</v>
      </c>
      <c r="H66" s="10" t="n">
        <v>5282</v>
      </c>
      <c r="I66" s="17"/>
      <c r="J66" s="10" t="n">
        <v>4203</v>
      </c>
      <c r="K66" s="10" t="n">
        <v>4900</v>
      </c>
    </row>
    <row r="67" customFormat="false" ht="15" hidden="false" customHeight="false" outlineLevel="0" collapsed="false">
      <c r="A67" s="9" t="s">
        <v>90</v>
      </c>
      <c r="B67" s="18" t="n">
        <f aca="false">IF(AND(ISNUMBER(B65),B66&lt;&gt;0),B65/B66-1,"")</f>
        <v>0.0162996854446669</v>
      </c>
      <c r="C67" s="18" t="n">
        <f aca="false">IF(AND(ISNUMBER(C65),C66&lt;&gt;0),C65/C66-1,"")</f>
        <v>-0.0374157564489891</v>
      </c>
      <c r="D67" s="18" t="n">
        <f aca="false">IF(AND(ISNUMBER(D65),D66&lt;&gt;0),D65/D66-1,"")</f>
        <v>0.104023347925787</v>
      </c>
      <c r="E67" s="17"/>
      <c r="F67" s="18" t="n">
        <f aca="false">IF(AND(ISNUMBER(F65),F66&lt;&gt;0),F65/F66-1,"")</f>
        <v>0.223234624145786</v>
      </c>
      <c r="G67" s="18" t="n">
        <f aca="false">IF(AND(ISNUMBER(G65),G66&lt;&gt;0),G65/G66-1,"")</f>
        <v>0.176271186440678</v>
      </c>
      <c r="H67" s="18" t="n">
        <f aca="false">IF(AND(ISNUMBER(H65),H66&lt;&gt;0),H65/H66-1,"")</f>
        <v>0.0965543354789853</v>
      </c>
      <c r="I67" s="17"/>
      <c r="J67" s="18" t="n">
        <f aca="false">IF(AND(ISNUMBER(J65),J66&lt;&gt;0),J65/J66-1,"")</f>
        <v>0.103021651201523</v>
      </c>
      <c r="K67" s="18" t="n">
        <f aca="false">IF(AND(ISNUMBER(K65),K66&lt;&gt;0),K65/K66-1,"")</f>
        <v>0.136734693877551</v>
      </c>
    </row>
    <row r="68" customFormat="false" ht="15" hidden="false" customHeight="false" outlineLevel="0" collapsed="false">
      <c r="A68" s="9" t="s">
        <v>91</v>
      </c>
      <c r="B68" s="10" t="n">
        <v>3615</v>
      </c>
      <c r="C68" s="10" t="n">
        <v>3946</v>
      </c>
      <c r="D68" s="10" t="n">
        <v>3625</v>
      </c>
      <c r="E68" s="17"/>
      <c r="F68" s="10" t="n">
        <v>3865</v>
      </c>
      <c r="G68" s="10" t="n">
        <v>4186</v>
      </c>
      <c r="H68" s="10" t="n">
        <v>4034</v>
      </c>
      <c r="I68" s="17"/>
      <c r="J68" s="10" t="n">
        <v>3950</v>
      </c>
      <c r="K68" s="10" t="n">
        <v>4579</v>
      </c>
    </row>
    <row r="69" customFormat="false" ht="15" hidden="false" customHeight="false" outlineLevel="0" collapsed="false">
      <c r="A69" s="9" t="s">
        <v>92</v>
      </c>
      <c r="B69" s="10" t="n">
        <v>3332</v>
      </c>
      <c r="C69" s="10" t="n">
        <v>3636</v>
      </c>
      <c r="D69" s="10" t="n">
        <v>3303</v>
      </c>
      <c r="E69" s="17"/>
      <c r="F69" s="10" t="n">
        <v>3565</v>
      </c>
      <c r="G69" s="10" t="n">
        <v>3945</v>
      </c>
      <c r="H69" s="10" t="n">
        <v>3620</v>
      </c>
      <c r="I69" s="17"/>
      <c r="J69" s="10" t="n">
        <v>3794</v>
      </c>
      <c r="K69" s="10" t="n">
        <v>4167</v>
      </c>
    </row>
    <row r="70" customFormat="false" ht="15" hidden="false" customHeight="false" outlineLevel="0" collapsed="false">
      <c r="A70" s="9" t="s">
        <v>93</v>
      </c>
      <c r="B70" s="18" t="n">
        <f aca="false">IF(AND(ISNUMBER(B68),B69&lt;&gt;0),B68/B69-1,"")</f>
        <v>0.0849339735894359</v>
      </c>
      <c r="C70" s="18" t="n">
        <f aca="false">IF(AND(ISNUMBER(C68),C69&lt;&gt;0),C68/C69-1,"")</f>
        <v>0.0852585258525853</v>
      </c>
      <c r="D70" s="18" t="n">
        <f aca="false">IF(AND(ISNUMBER(D68),D69&lt;&gt;0),D68/D69-1,"")</f>
        <v>0.0974871329094762</v>
      </c>
      <c r="E70" s="17"/>
      <c r="F70" s="18" t="n">
        <f aca="false">IF(AND(ISNUMBER(F68),F69&lt;&gt;0),F68/F69-1,"")</f>
        <v>0.0841514726507715</v>
      </c>
      <c r="G70" s="18" t="n">
        <f aca="false">IF(AND(ISNUMBER(G68),G69&lt;&gt;0),G68/G69-1,"")</f>
        <v>0.0610899873257287</v>
      </c>
      <c r="H70" s="18" t="n">
        <f aca="false">IF(AND(ISNUMBER(H68),H69&lt;&gt;0),H68/H69-1,"")</f>
        <v>0.114364640883978</v>
      </c>
      <c r="I70" s="17"/>
      <c r="J70" s="18" t="n">
        <f aca="false">IF(AND(ISNUMBER(J68),J69&lt;&gt;0),J68/J69-1,"")</f>
        <v>0.0411175540326831</v>
      </c>
      <c r="K70" s="18" t="n">
        <f aca="false">IF(AND(ISNUMBER(K68),K69&lt;&gt;0),K68/K69-1,"")</f>
        <v>0.0988720902327813</v>
      </c>
    </row>
    <row r="71" customFormat="false" ht="15" hidden="false" customHeight="false" outlineLevel="0" collapsed="false">
      <c r="A71" s="9" t="s">
        <v>94</v>
      </c>
      <c r="B71" s="10" t="n">
        <v>3981</v>
      </c>
      <c r="C71" s="10" t="n">
        <v>4324</v>
      </c>
      <c r="D71" s="10" t="n">
        <v>4210</v>
      </c>
      <c r="E71" s="17"/>
      <c r="F71" s="10" t="n">
        <v>4449</v>
      </c>
      <c r="G71" s="10" t="n">
        <v>4731</v>
      </c>
      <c r="H71" s="10" t="n">
        <v>4789</v>
      </c>
      <c r="I71" s="17"/>
      <c r="J71" s="10" t="n">
        <v>4908</v>
      </c>
      <c r="K71" s="10" t="n">
        <v>5444</v>
      </c>
    </row>
    <row r="72" customFormat="false" ht="15" hidden="false" customHeight="false" outlineLevel="0" collapsed="false">
      <c r="A72" s="9" t="s">
        <v>95</v>
      </c>
      <c r="B72" s="10" t="n">
        <v>3820</v>
      </c>
      <c r="C72" s="10" t="n">
        <v>3946</v>
      </c>
      <c r="D72" s="10" t="n">
        <v>3721</v>
      </c>
      <c r="E72" s="17"/>
      <c r="F72" s="10" t="n">
        <v>3851</v>
      </c>
      <c r="G72" s="10" t="n">
        <v>4325</v>
      </c>
      <c r="H72" s="10" t="n">
        <v>4204</v>
      </c>
      <c r="I72" s="17"/>
      <c r="J72" s="10" t="n">
        <v>4446</v>
      </c>
      <c r="K72" s="10" t="n">
        <v>4781</v>
      </c>
    </row>
    <row r="73" customFormat="false" ht="15" hidden="false" customHeight="false" outlineLevel="0" collapsed="false">
      <c r="A73" s="9" t="s">
        <v>96</v>
      </c>
      <c r="B73" s="18" t="n">
        <f aca="false">IF(AND(ISNUMBER(B71),B72&lt;&gt;0),B71/B72-1,"")</f>
        <v>0.0421465968586388</v>
      </c>
      <c r="C73" s="18" t="n">
        <f aca="false">IF(AND(ISNUMBER(C71),C72&lt;&gt;0),C71/C72-1,"")</f>
        <v>0.0957932083122148</v>
      </c>
      <c r="D73" s="18" t="n">
        <f aca="false">IF(AND(ISNUMBER(D71),D72&lt;&gt;0),D71/D72-1,"")</f>
        <v>0.131416285944639</v>
      </c>
      <c r="E73" s="17"/>
      <c r="F73" s="18" t="n">
        <f aca="false">IF(AND(ISNUMBER(F71),F72&lt;&gt;0),F71/F72-1,"")</f>
        <v>0.155284341729421</v>
      </c>
      <c r="G73" s="18" t="n">
        <f aca="false">IF(AND(ISNUMBER(G71),G72&lt;&gt;0),G71/G72-1,"")</f>
        <v>0.0938728323699423</v>
      </c>
      <c r="H73" s="18" t="n">
        <f aca="false">IF(AND(ISNUMBER(H71),H72&lt;&gt;0),H71/H72-1,"")</f>
        <v>0.139153187440533</v>
      </c>
      <c r="I73" s="17"/>
      <c r="J73" s="18" t="n">
        <f aca="false">IF(AND(ISNUMBER(J71),J72&lt;&gt;0),J71/J72-1,"")</f>
        <v>0.10391363022942</v>
      </c>
      <c r="K73" s="18" t="n">
        <f aca="false">IF(AND(ISNUMBER(K71),K72&lt;&gt;0),K71/K72-1,"")</f>
        <v>0.138673917590462</v>
      </c>
    </row>
    <row r="74" customFormat="false" ht="15" hidden="false" customHeight="false" outlineLevel="0" collapsed="false">
      <c r="A74" s="9" t="s">
        <v>97</v>
      </c>
      <c r="B74" s="10" t="n">
        <v>1617</v>
      </c>
      <c r="C74" s="10" t="n">
        <v>1787</v>
      </c>
      <c r="D74" s="10" t="n">
        <v>1932</v>
      </c>
      <c r="E74" s="17"/>
      <c r="F74" s="10" t="n">
        <v>1945</v>
      </c>
      <c r="G74" s="10" t="n">
        <v>2153</v>
      </c>
      <c r="H74" s="10" t="n">
        <v>2537</v>
      </c>
      <c r="I74" s="17"/>
      <c r="J74" s="10" t="n">
        <v>2318</v>
      </c>
      <c r="K74" s="10" t="n">
        <v>2727</v>
      </c>
    </row>
    <row r="75" customFormat="false" ht="15" hidden="false" customHeight="false" outlineLevel="0" collapsed="false">
      <c r="A75" s="9" t="s">
        <v>98</v>
      </c>
      <c r="B75" s="10" t="n">
        <v>1333</v>
      </c>
      <c r="C75" s="10" t="n">
        <v>1506</v>
      </c>
      <c r="D75" s="10" t="n">
        <v>1564</v>
      </c>
      <c r="E75" s="17"/>
      <c r="F75" s="10" t="n">
        <v>1645</v>
      </c>
      <c r="G75" s="10" t="n">
        <v>1788</v>
      </c>
      <c r="H75" s="10" t="n">
        <v>1922</v>
      </c>
      <c r="I75" s="17"/>
      <c r="J75" s="10" t="n">
        <v>1800</v>
      </c>
      <c r="K75" s="10" t="n">
        <v>2106</v>
      </c>
    </row>
    <row r="76" customFormat="false" ht="15" hidden="false" customHeight="false" outlineLevel="0" collapsed="false">
      <c r="A76" s="9" t="s">
        <v>99</v>
      </c>
      <c r="B76" s="18" t="n">
        <f aca="false">IF(AND(ISNUMBER(B74),B75&lt;&gt;0),B74/B75-1,"")</f>
        <v>0.213053263315829</v>
      </c>
      <c r="C76" s="18" t="n">
        <f aca="false">IF(AND(ISNUMBER(C74),C75&lt;&gt;0),C74/C75-1,"")</f>
        <v>0.186586985391766</v>
      </c>
      <c r="D76" s="18" t="n">
        <f aca="false">IF(AND(ISNUMBER(D74),D75&lt;&gt;0),D74/D75-1,"")</f>
        <v>0.235294117647059</v>
      </c>
      <c r="E76" s="17"/>
      <c r="F76" s="18" t="n">
        <f aca="false">IF(AND(ISNUMBER(F74),F75&lt;&gt;0),F74/F75-1,"")</f>
        <v>0.182370820668693</v>
      </c>
      <c r="G76" s="18" t="n">
        <f aca="false">IF(AND(ISNUMBER(G74),G75&lt;&gt;0),G74/G75-1,"")</f>
        <v>0.20413870246085</v>
      </c>
      <c r="H76" s="18" t="n">
        <f aca="false">IF(AND(ISNUMBER(H74),H75&lt;&gt;0),H74/H75-1,"")</f>
        <v>0.319979188345473</v>
      </c>
      <c r="I76" s="17"/>
      <c r="J76" s="18" t="n">
        <f aca="false">IF(AND(ISNUMBER(J74),J75&lt;&gt;0),J74/J75-1,"")</f>
        <v>0.287777777777778</v>
      </c>
      <c r="K76" s="18" t="n">
        <f aca="false">IF(AND(ISNUMBER(K74),K75&lt;&gt;0),K74/K75-1,"")</f>
        <v>0.294871794871795</v>
      </c>
    </row>
    <row r="77" customFormat="false" ht="15" hidden="false" customHeight="false" outlineLevel="0" collapsed="false">
      <c r="A77" s="9" t="s">
        <v>100</v>
      </c>
      <c r="B77" s="10" t="n">
        <v>1636</v>
      </c>
      <c r="C77" s="10" t="n">
        <v>2079</v>
      </c>
      <c r="D77" s="10" t="n">
        <v>2892</v>
      </c>
      <c r="E77" s="17"/>
      <c r="F77" s="10" t="n">
        <v>1886</v>
      </c>
      <c r="G77" s="10" t="n">
        <v>2252</v>
      </c>
      <c r="H77" s="10" t="n">
        <v>2619</v>
      </c>
      <c r="I77" s="17"/>
      <c r="J77" s="10" t="n">
        <v>1385</v>
      </c>
      <c r="K77" s="10" t="n">
        <v>2014</v>
      </c>
    </row>
    <row r="78" customFormat="false" ht="15" hidden="false" customHeight="false" outlineLevel="0" collapsed="false">
      <c r="A78" s="9" t="s">
        <v>101</v>
      </c>
      <c r="B78" s="10" t="n">
        <v>1758</v>
      </c>
      <c r="C78" s="10" t="n">
        <v>2604</v>
      </c>
      <c r="D78" s="10" t="n">
        <v>2919</v>
      </c>
      <c r="E78" s="17"/>
      <c r="F78" s="10" t="n">
        <v>1646</v>
      </c>
      <c r="G78" s="10" t="n">
        <v>2064</v>
      </c>
      <c r="H78" s="10" t="n">
        <v>2888</v>
      </c>
      <c r="I78" s="17"/>
      <c r="J78" s="10" t="n">
        <v>1857</v>
      </c>
      <c r="K78" s="10" t="n">
        <v>2261</v>
      </c>
    </row>
    <row r="79" customFormat="false" ht="15" hidden="false" customHeight="false" outlineLevel="0" collapsed="false">
      <c r="A79" s="9" t="s">
        <v>102</v>
      </c>
      <c r="B79" s="18" t="n">
        <f aca="false">IF(AND(ISNUMBER(B77),B78&lt;&gt;0),B77/B78-1,"")</f>
        <v>-0.0693970420932878</v>
      </c>
      <c r="C79" s="18" t="n">
        <f aca="false">IF(AND(ISNUMBER(C77),C78&lt;&gt;0),C77/C78-1,"")</f>
        <v>-0.201612903225807</v>
      </c>
      <c r="D79" s="18" t="n">
        <f aca="false">IF(AND(ISNUMBER(D77),D78&lt;&gt;0),D77/D78-1,"")</f>
        <v>-0.00924974306269266</v>
      </c>
      <c r="E79" s="17"/>
      <c r="F79" s="18" t="n">
        <f aca="false">IF(AND(ISNUMBER(F77),F78&lt;&gt;0),F77/F78-1,"")</f>
        <v>0.145808019441069</v>
      </c>
      <c r="G79" s="18" t="n">
        <f aca="false">IF(AND(ISNUMBER(G77),G78&lt;&gt;0),G77/G78-1,"")</f>
        <v>0.0910852713178294</v>
      </c>
      <c r="H79" s="18" t="n">
        <f aca="false">IF(AND(ISNUMBER(H77),H78&lt;&gt;0),H77/H78-1,"")</f>
        <v>-0.0931440443213296</v>
      </c>
      <c r="I79" s="17"/>
      <c r="J79" s="18" t="n">
        <f aca="false">IF(AND(ISNUMBER(J77),J78&lt;&gt;0),J77/J78-1,"")</f>
        <v>-0.254173397953689</v>
      </c>
      <c r="K79" s="18" t="n">
        <f aca="false">IF(AND(ISNUMBER(K77),K78&lt;&gt;0),K77/K78-1,"")</f>
        <v>-0.109243697478992</v>
      </c>
    </row>
    <row r="80" customFormat="false" ht="15" hidden="false" customHeight="false" outlineLevel="0" collapsed="false">
      <c r="A80" s="5" t="s">
        <v>103</v>
      </c>
      <c r="B80" s="10" t="n">
        <v>222</v>
      </c>
      <c r="C80" s="10" t="n">
        <v>584</v>
      </c>
      <c r="D80" s="10" t="n">
        <v>231</v>
      </c>
      <c r="E80" s="17"/>
      <c r="F80" s="10" t="n">
        <v>439</v>
      </c>
      <c r="G80" s="10" t="n">
        <v>737</v>
      </c>
      <c r="H80" s="10" t="n">
        <v>833</v>
      </c>
      <c r="I80" s="17"/>
      <c r="J80" s="10" t="n">
        <v>778</v>
      </c>
      <c r="K80" s="10" t="n">
        <v>1139</v>
      </c>
    </row>
    <row r="81" customFormat="false" ht="15" hidden="false" customHeight="false" outlineLevel="0" collapsed="false">
      <c r="A81" s="9" t="s">
        <v>104</v>
      </c>
      <c r="B81" s="19" t="n">
        <v>0.031</v>
      </c>
      <c r="C81" s="19" t="n">
        <v>0.072</v>
      </c>
      <c r="D81" s="19" t="n">
        <v>0.026</v>
      </c>
      <c r="E81" s="17"/>
      <c r="F81" s="19" t="n">
        <v>0.054</v>
      </c>
      <c r="G81" s="19" t="n">
        <v>0.081</v>
      </c>
      <c r="H81" s="19" t="n">
        <v>0.085</v>
      </c>
      <c r="I81" s="17"/>
      <c r="J81" s="19" t="n">
        <v>0.091</v>
      </c>
      <c r="K81" s="19" t="n">
        <v>0.112</v>
      </c>
    </row>
    <row r="83" customFormat="false" ht="15" hidden="false" customHeight="false" outlineLevel="0" collapsed="false">
      <c r="A83" s="8" t="s">
        <v>105</v>
      </c>
      <c r="B83" s="8"/>
      <c r="C83" s="8"/>
      <c r="D83" s="8"/>
      <c r="E83" s="8"/>
      <c r="F83" s="8"/>
      <c r="G83" s="8"/>
      <c r="H83" s="8"/>
      <c r="I83" s="8"/>
      <c r="J83" s="8"/>
      <c r="K83" s="8"/>
    </row>
    <row r="84" customFormat="false" ht="15" hidden="false" customHeight="false" outlineLevel="0" collapsed="false">
      <c r="A84" s="2" t="s">
        <v>106</v>
      </c>
    </row>
    <row r="85" customFormat="false" ht="15" hidden="false" customHeight="false" outlineLevel="0" collapsed="false">
      <c r="A85" s="2" t="s">
        <v>107</v>
      </c>
      <c r="B85" s="7" t="s">
        <v>108</v>
      </c>
      <c r="C85" s="7" t="s">
        <v>108</v>
      </c>
      <c r="D85" s="7" t="s">
        <v>108</v>
      </c>
      <c r="E85" s="7" t="s">
        <v>108</v>
      </c>
      <c r="F85" s="7" t="s">
        <v>109</v>
      </c>
      <c r="G85" s="7" t="s">
        <v>109</v>
      </c>
      <c r="H85" s="7" t="s">
        <v>108</v>
      </c>
      <c r="I85" s="7" t="s">
        <v>108</v>
      </c>
      <c r="J85" s="7" t="s">
        <v>109</v>
      </c>
      <c r="K85" s="7" t="s">
        <v>109</v>
      </c>
    </row>
    <row r="86" customFormat="false" ht="15" hidden="false" customHeight="false" outlineLevel="0" collapsed="false">
      <c r="A86" s="20" t="s">
        <v>110</v>
      </c>
      <c r="B86" s="20"/>
      <c r="C86" s="20"/>
      <c r="D86" s="20"/>
      <c r="E86" s="20"/>
      <c r="F86" s="20"/>
      <c r="G86" s="20"/>
      <c r="H86" s="20"/>
      <c r="I86" s="20"/>
      <c r="J86" s="20"/>
      <c r="K86" s="20"/>
    </row>
    <row r="87" customFormat="false" ht="15" hidden="false" customHeight="false" outlineLevel="0" collapsed="false">
      <c r="A87" s="9" t="s">
        <v>111</v>
      </c>
      <c r="B87" s="21" t="n">
        <f aca="false">B109+AVERAGE(F161-F109,G161-G109)</f>
        <v>4061.5</v>
      </c>
      <c r="C87" s="21" t="n">
        <f aca="false">C109+AVERAGE(F161-F109,G161-G109)</f>
        <v>4481.5</v>
      </c>
      <c r="D87" s="21" t="n">
        <f aca="false">D109+AVERAGE(F161-F109,G161-G109)</f>
        <v>4232.5</v>
      </c>
      <c r="E87" s="21" t="n">
        <f aca="false">E109+AVERAGE(F161-F109,G161-G109)</f>
        <v>5457.5</v>
      </c>
      <c r="F87" s="11" t="n">
        <f aca="false">F161</f>
        <v>4449</v>
      </c>
      <c r="G87" s="11" t="n">
        <f aca="false">G161</f>
        <v>4785</v>
      </c>
      <c r="H87" s="21" t="n">
        <f aca="false">H109+AVERAGE(F161-F109,G161-G109)</f>
        <v>4864.5</v>
      </c>
      <c r="I87" s="21" t="n">
        <f aca="false">I109+AVERAGE(F161-F109,G161-G109)</f>
        <v>5774.5</v>
      </c>
      <c r="J87" s="11" t="n">
        <f aca="false">J161</f>
        <v>4971</v>
      </c>
      <c r="K87" s="11" t="n">
        <f aca="false">K161</f>
        <v>5477</v>
      </c>
    </row>
    <row r="88" customFormat="false" ht="15" hidden="false" customHeight="false" outlineLevel="0" collapsed="false">
      <c r="A88" s="9" t="s">
        <v>112</v>
      </c>
      <c r="B88" s="21" t="n">
        <f aca="false">B110+AVERAGE(F162-F110,G162-G110)</f>
        <v>1612</v>
      </c>
      <c r="C88" s="21" t="n">
        <f aca="false">C110+AVERAGE(F162-F110,G162-G110)</f>
        <v>1751</v>
      </c>
      <c r="D88" s="21" t="n">
        <f aca="false">D110+AVERAGE(F162-F110,G162-G110)</f>
        <v>1889</v>
      </c>
      <c r="E88" s="21" t="n">
        <f aca="false">E110+AVERAGE(F162-F110,G162-G110)</f>
        <v>2142</v>
      </c>
      <c r="F88" s="11" t="n">
        <f aca="false">F162</f>
        <v>1840</v>
      </c>
      <c r="G88" s="11" t="n">
        <f aca="false">G162</f>
        <v>2162</v>
      </c>
      <c r="H88" s="21" t="n">
        <f aca="false">H110+AVERAGE(F162-F110,G162-G110)</f>
        <v>2562</v>
      </c>
      <c r="I88" s="21" t="n">
        <f aca="false">I110+AVERAGE(F162-F110,G162-G110)</f>
        <v>2922</v>
      </c>
      <c r="J88" s="11" t="n">
        <f aca="false">J162</f>
        <v>2959</v>
      </c>
      <c r="K88" s="11" t="n">
        <f aca="false">K162</f>
        <v>3637</v>
      </c>
    </row>
    <row r="89" customFormat="false" ht="15" hidden="false" customHeight="false" outlineLevel="0" collapsed="false">
      <c r="A89" s="9" t="s">
        <v>113</v>
      </c>
      <c r="B89" s="21" t="n">
        <f aca="false">B111+AVERAGE(F163-F111,G163-G111)</f>
        <v>1639</v>
      </c>
      <c r="C89" s="21" t="n">
        <f aca="false">C111+AVERAGE(F163-F111,G163-G111)</f>
        <v>2062</v>
      </c>
      <c r="D89" s="21" t="n">
        <f aca="false">D111+AVERAGE(F163-F111,G163-G111)</f>
        <v>2891</v>
      </c>
      <c r="E89" s="21" t="n">
        <f aca="false">E111+AVERAGE(F163-F111,G163-G111)</f>
        <v>3109</v>
      </c>
      <c r="F89" s="11" t="n">
        <f aca="false">F163</f>
        <v>1850</v>
      </c>
      <c r="G89" s="11" t="n">
        <f aca="false">G163</f>
        <v>2245</v>
      </c>
      <c r="H89" s="21" t="n">
        <f aca="false">H111+AVERAGE(F163-F111,G163-G111)</f>
        <v>2647</v>
      </c>
      <c r="I89" s="21" t="n">
        <f aca="false">I111+AVERAGE(F163-F111,G163-G111)</f>
        <v>2368</v>
      </c>
      <c r="J89" s="11" t="n">
        <f aca="false">J163</f>
        <v>1432</v>
      </c>
      <c r="K89" s="11" t="n">
        <f aca="false">K163</f>
        <v>2026</v>
      </c>
    </row>
    <row r="90" customFormat="false" ht="15" hidden="false" customHeight="false" outlineLevel="0" collapsed="false">
      <c r="A90" s="9" t="s">
        <v>114</v>
      </c>
      <c r="B90" s="21" t="n">
        <f aca="false">B12-B87-B88-B89</f>
        <v>-52.5</v>
      </c>
      <c r="C90" s="21" t="n">
        <f aca="false">C12-C87-C88-C89</f>
        <v>-90.5</v>
      </c>
      <c r="D90" s="21" t="n">
        <f aca="false">D12-D87-D88-D89</f>
        <v>-99.5</v>
      </c>
      <c r="E90" s="21" t="n">
        <f aca="false">E12-E87-E88-E89</f>
        <v>-150.5</v>
      </c>
      <c r="F90" s="11" t="n">
        <f aca="false">F164</f>
        <v>-107</v>
      </c>
      <c r="G90" s="11" t="n">
        <f aca="false">G164</f>
        <v>-80</v>
      </c>
      <c r="H90" s="21" t="n">
        <f aca="false">H12-H87-H88-H89</f>
        <v>-104.5</v>
      </c>
      <c r="I90" s="21" t="n">
        <f aca="false">I12-I87-I88-I89</f>
        <v>-108.5</v>
      </c>
      <c r="J90" s="11" t="n">
        <f aca="false">J164</f>
        <v>-25</v>
      </c>
      <c r="K90" s="11" t="n">
        <f aca="false">K164</f>
        <v>-37</v>
      </c>
    </row>
    <row r="91" customFormat="false" ht="15" hidden="false" customHeight="false" outlineLevel="0" collapsed="false">
      <c r="A91" s="12" t="s">
        <v>115</v>
      </c>
      <c r="B91" s="14" t="n">
        <f aca="false">B12</f>
        <v>7260</v>
      </c>
      <c r="C91" s="14" t="n">
        <f aca="false">C12</f>
        <v>8204</v>
      </c>
      <c r="D91" s="14" t="n">
        <f aca="false">D12</f>
        <v>8913</v>
      </c>
      <c r="E91" s="14" t="n">
        <f aca="false">E12</f>
        <v>10558</v>
      </c>
      <c r="F91" s="14" t="n">
        <f aca="false">F12</f>
        <v>8032</v>
      </c>
      <c r="G91" s="14" t="n">
        <f aca="false">G12</f>
        <v>9111</v>
      </c>
      <c r="H91" s="14" t="n">
        <f aca="false">H12</f>
        <v>9969</v>
      </c>
      <c r="I91" s="14" t="n">
        <f aca="false">I12</f>
        <v>10956</v>
      </c>
      <c r="J91" s="14" t="n">
        <f aca="false">J12</f>
        <v>9339</v>
      </c>
      <c r="K91" s="14" t="n">
        <f aca="false">K12</f>
        <v>11104</v>
      </c>
    </row>
    <row r="92" customFormat="false" ht="15" hidden="false" customHeight="false" outlineLevel="0" collapsed="false">
      <c r="A92" s="9" t="s">
        <v>116</v>
      </c>
      <c r="B92" s="17"/>
      <c r="C92" s="17"/>
      <c r="D92" s="17"/>
      <c r="E92" s="17"/>
      <c r="F92" s="18" t="n">
        <f aca="false">IF(AND(ISNUMBER(F87),ISNUMBER(B87),B87&lt;&gt;0),F87/B87-1,"")</f>
        <v>0.0954081004554968</v>
      </c>
      <c r="G92" s="18" t="n">
        <f aca="false">IF(AND(ISNUMBER(G87),ISNUMBER(C87),C87&lt;&gt;0),G87/C87-1,"")</f>
        <v>0.0677228606493361</v>
      </c>
      <c r="H92" s="18" t="n">
        <f aca="false">IF(AND(ISNUMBER(H87),ISNUMBER(D87),D87&lt;&gt;0),H87/D87-1,"")</f>
        <v>0.149320732427643</v>
      </c>
      <c r="I92" s="18" t="n">
        <f aca="false">IF(AND(ISNUMBER(I87),ISNUMBER(E87),E87&lt;&gt;0),I87/E87-1,"")</f>
        <v>0.0580852038479158</v>
      </c>
      <c r="J92" s="18" t="n">
        <f aca="false">IF(AND(ISNUMBER(J87),ISNUMBER(F87),F87&lt;&gt;0),J87/F87-1,"")</f>
        <v>0.117329737019555</v>
      </c>
      <c r="K92" s="18" t="n">
        <f aca="false">IF(AND(ISNUMBER(K87),ISNUMBER(G87),G87&lt;&gt;0),K87/G87-1,"")</f>
        <v>0.144618599791014</v>
      </c>
    </row>
    <row r="93" customFormat="false" ht="15" hidden="false" customHeight="false" outlineLevel="0" collapsed="false">
      <c r="A93" s="9" t="s">
        <v>117</v>
      </c>
      <c r="B93" s="17"/>
      <c r="C93" s="17"/>
      <c r="D93" s="17"/>
      <c r="E93" s="17"/>
      <c r="F93" s="18" t="n">
        <f aca="false">IF(AND(ISNUMBER(F88),ISNUMBER(B88),B88&lt;&gt;0),F88/B88-1,"")</f>
        <v>0.141439205955335</v>
      </c>
      <c r="G93" s="18" t="n">
        <f aca="false">IF(AND(ISNUMBER(G88),ISNUMBER(C88),C88&lt;&gt;0),G88/C88-1,"")</f>
        <v>0.23472301541976</v>
      </c>
      <c r="H93" s="18" t="n">
        <f aca="false">IF(AND(ISNUMBER(H88),ISNUMBER(D88),D88&lt;&gt;0),H88/D88-1,"")</f>
        <v>0.356273160402329</v>
      </c>
      <c r="I93" s="18" t="n">
        <f aca="false">IF(AND(ISNUMBER(I88),ISNUMBER(E88),E88&lt;&gt;0),I88/E88-1,"")</f>
        <v>0.364145658263305</v>
      </c>
      <c r="J93" s="18" t="n">
        <f aca="false">IF(AND(ISNUMBER(J88),ISNUMBER(F88),F88&lt;&gt;0),J88/F88-1,"")</f>
        <v>0.608152173913044</v>
      </c>
      <c r="K93" s="18" t="n">
        <f aca="false">IF(AND(ISNUMBER(K88),ISNUMBER(G88),G88&lt;&gt;0),K88/G88-1,"")</f>
        <v>0.682238667900093</v>
      </c>
    </row>
    <row r="94" customFormat="false" ht="15" hidden="false" customHeight="false" outlineLevel="0" collapsed="false">
      <c r="A94" s="9" t="s">
        <v>118</v>
      </c>
      <c r="B94" s="17"/>
      <c r="C94" s="17"/>
      <c r="D94" s="17"/>
      <c r="E94" s="17"/>
      <c r="F94" s="18" t="n">
        <f aca="false">IF(AND(ISNUMBER(F89),ISNUMBER(B89),B89&lt;&gt;0),F89/B89-1,"")</f>
        <v>0.128737034777303</v>
      </c>
      <c r="G94" s="18" t="n">
        <f aca="false">IF(AND(ISNUMBER(G89),ISNUMBER(C89),C89&lt;&gt;0),G89/C89-1,"")</f>
        <v>0.0887487875848692</v>
      </c>
      <c r="H94" s="18" t="n">
        <f aca="false">IF(AND(ISNUMBER(H89),ISNUMBER(D89),D89&lt;&gt;0),H89/D89-1,"")</f>
        <v>-0.084399861639571</v>
      </c>
      <c r="I94" s="18" t="n">
        <f aca="false">IF(AND(ISNUMBER(I89),ISNUMBER(E89),E89&lt;&gt;0),I89/E89-1,"")</f>
        <v>-0.238340302348022</v>
      </c>
      <c r="J94" s="18" t="n">
        <f aca="false">IF(AND(ISNUMBER(J89),ISNUMBER(F89),F89&lt;&gt;0),J89/F89-1,"")</f>
        <v>-0.225945945945946</v>
      </c>
      <c r="K94" s="18" t="n">
        <f aca="false">IF(AND(ISNUMBER(K89),ISNUMBER(G89),G89&lt;&gt;0),K89/G89-1,"")</f>
        <v>-0.0975501113585746</v>
      </c>
    </row>
    <row r="95" customFormat="false" ht="15" hidden="false" customHeight="false" outlineLevel="0" collapsed="false">
      <c r="A95" s="20" t="s">
        <v>119</v>
      </c>
      <c r="B95" s="20"/>
      <c r="C95" s="20"/>
      <c r="D95" s="20"/>
      <c r="E95" s="20"/>
      <c r="F95" s="20"/>
      <c r="G95" s="20"/>
      <c r="H95" s="20"/>
      <c r="I95" s="20"/>
      <c r="J95" s="20"/>
      <c r="K95" s="20"/>
    </row>
    <row r="96" customFormat="false" ht="15" hidden="false" customHeight="false" outlineLevel="0" collapsed="false">
      <c r="A96" s="9" t="s">
        <v>111</v>
      </c>
      <c r="B96" s="21" t="n">
        <f aca="false">B119+AVERAGE(F171-F119,G171-G119)</f>
        <v>353</v>
      </c>
      <c r="C96" s="21" t="n">
        <f aca="false">C119+AVERAGE(F171-F119,G171-G119)</f>
        <v>621</v>
      </c>
      <c r="D96" s="21" t="n">
        <f aca="false">D119+AVERAGE(F171-F119,G171-G119)</f>
        <v>507</v>
      </c>
      <c r="E96" s="21" t="n">
        <f aca="false">E119+AVERAGE(F171-F119,G171-G119)</f>
        <v>819</v>
      </c>
      <c r="F96" s="11" t="n">
        <f aca="false">F171</f>
        <v>517</v>
      </c>
      <c r="G96" s="11" t="n">
        <f aca="false">G171</f>
        <v>785</v>
      </c>
      <c r="H96" s="21" t="n">
        <f aca="false">H119+AVERAGE(F171-F119,G171-G119)</f>
        <v>653</v>
      </c>
      <c r="I96" s="21" t="n">
        <f aca="false">I119+AVERAGE(F171-F119,G171-G119)</f>
        <v>979</v>
      </c>
      <c r="J96" s="11" t="n">
        <f aca="false">J171</f>
        <v>811</v>
      </c>
      <c r="K96" s="11" t="n">
        <f aca="false">K171</f>
        <v>1031</v>
      </c>
    </row>
    <row r="97" customFormat="false" ht="15" hidden="false" customHeight="false" outlineLevel="0" collapsed="false">
      <c r="A97" s="9" t="s">
        <v>112</v>
      </c>
      <c r="B97" s="21" t="n">
        <f aca="false">B120+AVERAGE(F172-F120,G172-G120)</f>
        <v>57.5</v>
      </c>
      <c r="C97" s="21" t="n">
        <f aca="false">C120+AVERAGE(F172-F120,G172-G120)</f>
        <v>120.5</v>
      </c>
      <c r="D97" s="21" t="n">
        <f aca="false">D120+AVERAGE(F172-F120,G172-G120)</f>
        <v>192.5</v>
      </c>
      <c r="E97" s="21" t="n">
        <f aca="false">E120+AVERAGE(F172-F120,G172-G120)</f>
        <v>274.5</v>
      </c>
      <c r="F97" s="11" t="n">
        <f aca="false">F172</f>
        <v>205</v>
      </c>
      <c r="G97" s="11" t="n">
        <f aca="false">G172</f>
        <v>314</v>
      </c>
      <c r="H97" s="21" t="n">
        <f aca="false">H120+AVERAGE(F172-F120,G172-G120)</f>
        <v>384.5</v>
      </c>
      <c r="I97" s="21" t="n">
        <f aca="false">I120+AVERAGE(F172-F120,G172-G120)</f>
        <v>495.5</v>
      </c>
      <c r="J97" s="11" t="n">
        <f aca="false">J172</f>
        <v>528</v>
      </c>
      <c r="K97" s="11" t="n">
        <f aca="false">K172</f>
        <v>671</v>
      </c>
    </row>
    <row r="98" customFormat="false" ht="15" hidden="false" customHeight="false" outlineLevel="0" collapsed="false">
      <c r="A98" s="9" t="s">
        <v>113</v>
      </c>
      <c r="B98" s="21" t="n">
        <f aca="false">B121+AVERAGE(F173-F121,G173-G121)</f>
        <v>-173</v>
      </c>
      <c r="C98" s="21" t="n">
        <f aca="false">C121+AVERAGE(F173-F121,G173-G121)</f>
        <v>-117</v>
      </c>
      <c r="D98" s="21" t="n">
        <f aca="false">D121+AVERAGE(F173-F121,G173-G121)</f>
        <v>-317</v>
      </c>
      <c r="E98" s="21" t="n">
        <f aca="false">E121+AVERAGE(F173-F121,G173-G121)</f>
        <v>19</v>
      </c>
      <c r="F98" s="11" t="n">
        <f aca="false">F173</f>
        <v>-146</v>
      </c>
      <c r="G98" s="11" t="n">
        <f aca="false">G173</f>
        <v>-165</v>
      </c>
      <c r="H98" s="21" t="n">
        <f aca="false">H121+AVERAGE(F173-F121,G173-G121)</f>
        <v>-61</v>
      </c>
      <c r="I98" s="21" t="n">
        <f aca="false">I121+AVERAGE(F173-F121,G173-G121)</f>
        <v>-226</v>
      </c>
      <c r="J98" s="11" t="n">
        <f aca="false">J173</f>
        <v>-382</v>
      </c>
      <c r="K98" s="11" t="n">
        <f aca="false">K173</f>
        <v>-275</v>
      </c>
    </row>
    <row r="99" customFormat="false" ht="15" hidden="false" customHeight="false" outlineLevel="0" collapsed="false">
      <c r="A99" s="9" t="s">
        <v>120</v>
      </c>
      <c r="B99" s="21" t="n">
        <f aca="false">B122+AVERAGE(F174-F122,G174-G122)</f>
        <v>-49</v>
      </c>
      <c r="C99" s="21" t="n">
        <f aca="false">C122+AVERAGE(F174-F122,G174-G122)</f>
        <v>-101</v>
      </c>
      <c r="D99" s="21" t="n">
        <f aca="false">D122+AVERAGE(F174-F122,G174-G122)</f>
        <v>-140</v>
      </c>
      <c r="E99" s="21" t="n">
        <f aca="false">E122+AVERAGE(F174-F122,G174-G122)</f>
        <v>-33</v>
      </c>
      <c r="F99" s="11" t="n">
        <f aca="false">F174</f>
        <v>-119</v>
      </c>
      <c r="G99" s="11" t="n">
        <f aca="false">G174</f>
        <v>-164</v>
      </c>
      <c r="H99" s="21" t="n">
        <f aca="false">H122+AVERAGE(F174-F122,G174-G122)</f>
        <v>-166</v>
      </c>
      <c r="I99" s="21" t="n">
        <f aca="false">I122+AVERAGE(F174-F122,G174-G122)</f>
        <v>-92</v>
      </c>
      <c r="J99" s="11" t="n">
        <f aca="false">J174</f>
        <v>-62</v>
      </c>
      <c r="K99" s="11" t="n">
        <f aca="false">K174</f>
        <v>-177</v>
      </c>
    </row>
    <row r="100" customFormat="false" ht="15" hidden="false" customHeight="false" outlineLevel="0" collapsed="false">
      <c r="A100" s="12" t="s">
        <v>81</v>
      </c>
      <c r="B100" s="14" t="n">
        <f aca="false">B57</f>
        <v>189</v>
      </c>
      <c r="C100" s="14" t="n">
        <f aca="false">C57</f>
        <v>524</v>
      </c>
      <c r="D100" s="14" t="n">
        <f aca="false">D57</f>
        <v>243</v>
      </c>
      <c r="E100" s="14" t="n">
        <f aca="false">E57</f>
        <v>1079</v>
      </c>
      <c r="F100" s="14" t="n">
        <f aca="false">F57</f>
        <v>457</v>
      </c>
      <c r="G100" s="14" t="n">
        <f aca="false">G57</f>
        <v>770</v>
      </c>
      <c r="H100" s="14" t="n">
        <f aca="false">H57</f>
        <v>811</v>
      </c>
      <c r="I100" s="14" t="n">
        <f aca="false">I57</f>
        <v>1158</v>
      </c>
      <c r="J100" s="14" t="n">
        <f aca="false">J57</f>
        <v>896</v>
      </c>
      <c r="K100" s="14" t="n">
        <f aca="false">K57</f>
        <v>1250</v>
      </c>
    </row>
    <row r="101" customFormat="false" ht="15" hidden="false" customHeight="false" outlineLevel="0" collapsed="false">
      <c r="A101" s="9" t="s">
        <v>121</v>
      </c>
      <c r="B101" s="11" t="n">
        <f aca="false">B96+B97+B98+B99-B100</f>
        <v>-0.5</v>
      </c>
      <c r="C101" s="11" t="n">
        <f aca="false">C96+C97+C98+C99-C100</f>
        <v>-0.5</v>
      </c>
      <c r="D101" s="11" t="n">
        <f aca="false">D96+D97+D98+D99-D100</f>
        <v>-0.5</v>
      </c>
      <c r="E101" s="11" t="n">
        <f aca="false">E96+E97+E98+E99-E100</f>
        <v>0.5</v>
      </c>
      <c r="F101" s="11" t="n">
        <f aca="false">F96+F97+F98+F99-F100</f>
        <v>0</v>
      </c>
      <c r="G101" s="11" t="n">
        <f aca="false">G96+G97+G98+G99-G100</f>
        <v>0</v>
      </c>
      <c r="H101" s="11" t="n">
        <f aca="false">H96+H97+H98+H99-H100</f>
        <v>-0.5</v>
      </c>
      <c r="I101" s="11" t="n">
        <f aca="false">I96+I97+I98+I99-I100</f>
        <v>-1.5</v>
      </c>
      <c r="J101" s="11" t="n">
        <f aca="false">J96+J97+J98+J99-J100</f>
        <v>-1</v>
      </c>
      <c r="K101" s="11" t="n">
        <f aca="false">K96+K97+K98+K99-K100</f>
        <v>0</v>
      </c>
    </row>
    <row r="102" customFormat="false" ht="15" hidden="false" customHeight="false" outlineLevel="0" collapsed="false">
      <c r="A102" s="9" t="s">
        <v>122</v>
      </c>
      <c r="B102" s="18" t="n">
        <f aca="false">B96/B87</f>
        <v>0.0869137018342977</v>
      </c>
      <c r="C102" s="18" t="n">
        <f aca="false">C96/C87</f>
        <v>0.13856967533192</v>
      </c>
      <c r="D102" s="18" t="n">
        <f aca="false">D96/D87</f>
        <v>0.11978735971648</v>
      </c>
      <c r="E102" s="18" t="n">
        <f aca="false">E96/E87</f>
        <v>0.150068712780577</v>
      </c>
      <c r="F102" s="18" t="n">
        <f aca="false">F96/F87</f>
        <v>0.116205888963812</v>
      </c>
      <c r="G102" s="18" t="n">
        <f aca="false">G96/G87</f>
        <v>0.16405433646813</v>
      </c>
      <c r="H102" s="18" t="n">
        <f aca="false">H96/H87</f>
        <v>0.134237845616199</v>
      </c>
      <c r="I102" s="18" t="n">
        <f aca="false">I96/I87</f>
        <v>0.169538488180795</v>
      </c>
      <c r="J102" s="18" t="n">
        <f aca="false">J96/J87</f>
        <v>0.163146248239791</v>
      </c>
      <c r="K102" s="18" t="n">
        <f aca="false">K96/K87</f>
        <v>0.188241738177835</v>
      </c>
    </row>
    <row r="103" customFormat="false" ht="15" hidden="false" customHeight="false" outlineLevel="0" collapsed="false">
      <c r="A103" s="9" t="s">
        <v>123</v>
      </c>
      <c r="B103" s="18" t="n">
        <f aca="false">B97/B88</f>
        <v>0.0356699751861042</v>
      </c>
      <c r="C103" s="18" t="n">
        <f aca="false">C97/C88</f>
        <v>0.0688178183894917</v>
      </c>
      <c r="D103" s="18" t="n">
        <f aca="false">D97/D88</f>
        <v>0.101905770248809</v>
      </c>
      <c r="E103" s="18" t="n">
        <f aca="false">E97/E88</f>
        <v>0.128151260504202</v>
      </c>
      <c r="F103" s="18" t="n">
        <f aca="false">F97/F88</f>
        <v>0.111413043478261</v>
      </c>
      <c r="G103" s="18" t="n">
        <f aca="false">G97/G88</f>
        <v>0.145235892691952</v>
      </c>
      <c r="H103" s="18" t="n">
        <f aca="false">H97/H88</f>
        <v>0.15007806401249</v>
      </c>
      <c r="I103" s="18" t="n">
        <f aca="false">I97/I88</f>
        <v>0.169575633127995</v>
      </c>
      <c r="J103" s="18" t="n">
        <f aca="false">J97/J88</f>
        <v>0.178438661710037</v>
      </c>
      <c r="K103" s="18" t="n">
        <f aca="false">K97/K88</f>
        <v>0.184492713775089</v>
      </c>
    </row>
    <row r="104" customFormat="false" ht="15" hidden="false" customHeight="false" outlineLevel="0" collapsed="false">
      <c r="A104" s="9" t="s">
        <v>124</v>
      </c>
      <c r="B104" s="18" t="n">
        <f aca="false">B98/B89</f>
        <v>-0.105552165954851</v>
      </c>
      <c r="C104" s="18" t="n">
        <f aca="false">C98/C89</f>
        <v>-0.056741028128031</v>
      </c>
      <c r="D104" s="18" t="n">
        <f aca="false">D98/D89</f>
        <v>-0.109650639916984</v>
      </c>
      <c r="E104" s="18" t="n">
        <f aca="false">E98/E89</f>
        <v>0.00611128980379543</v>
      </c>
      <c r="F104" s="18" t="n">
        <f aca="false">F98/F89</f>
        <v>-0.0789189189189189</v>
      </c>
      <c r="G104" s="18" t="n">
        <f aca="false">G98/G89</f>
        <v>-0.0734966592427617</v>
      </c>
      <c r="H104" s="18" t="n">
        <f aca="false">H98/H89</f>
        <v>-0.0230449565545901</v>
      </c>
      <c r="I104" s="18" t="n">
        <f aca="false">I98/I89</f>
        <v>-0.0954391891891892</v>
      </c>
      <c r="J104" s="18" t="n">
        <f aca="false">J98/J89</f>
        <v>-0.266759776536313</v>
      </c>
      <c r="K104" s="18" t="n">
        <f aca="false">K98/K89</f>
        <v>-0.13573543928924</v>
      </c>
    </row>
    <row r="106" customFormat="false" ht="15" hidden="false" customHeight="false" outlineLevel="0" collapsed="false">
      <c r="A106" s="8" t="s">
        <v>125</v>
      </c>
      <c r="B106" s="8"/>
      <c r="C106" s="8"/>
      <c r="D106" s="8"/>
      <c r="E106" s="8"/>
      <c r="F106" s="8"/>
      <c r="G106" s="8"/>
      <c r="H106" s="8"/>
      <c r="I106" s="8"/>
      <c r="J106" s="8"/>
      <c r="K106" s="8"/>
    </row>
    <row r="107" customFormat="false" ht="15" hidden="false" customHeight="false" outlineLevel="0" collapsed="false">
      <c r="A107" s="2" t="s">
        <v>126</v>
      </c>
    </row>
    <row r="108" customFormat="false" ht="15" hidden="false" customHeight="false" outlineLevel="0" collapsed="false">
      <c r="A108" s="20" t="s">
        <v>110</v>
      </c>
      <c r="B108" s="20"/>
      <c r="C108" s="20"/>
      <c r="D108" s="20"/>
      <c r="E108" s="20"/>
      <c r="F108" s="20"/>
      <c r="G108" s="20"/>
      <c r="H108" s="20"/>
      <c r="I108" s="20"/>
      <c r="J108" s="20"/>
      <c r="K108" s="20"/>
    </row>
    <row r="109" customFormat="false" ht="15" hidden="false" customHeight="false" outlineLevel="0" collapsed="false">
      <c r="A109" s="9" t="s">
        <v>111</v>
      </c>
      <c r="B109" s="10" t="n">
        <v>4035</v>
      </c>
      <c r="C109" s="10" t="n">
        <v>4455</v>
      </c>
      <c r="D109" s="10" t="n">
        <v>4206</v>
      </c>
      <c r="E109" s="11" t="n">
        <f aca="false">E432-SUM(B109:D109)</f>
        <v>5431</v>
      </c>
      <c r="F109" s="10" t="n">
        <v>4423</v>
      </c>
      <c r="G109" s="10" t="n">
        <v>4758</v>
      </c>
      <c r="H109" s="10" t="n">
        <v>4838</v>
      </c>
      <c r="I109" s="11" t="n">
        <f aca="false">I432-SUM(F109:H109)</f>
        <v>5748</v>
      </c>
      <c r="J109" s="17"/>
      <c r="K109" s="17"/>
    </row>
    <row r="110" customFormat="false" ht="15" hidden="false" customHeight="false" outlineLevel="0" collapsed="false">
      <c r="A110" s="9" t="s">
        <v>112</v>
      </c>
      <c r="B110" s="10" t="n">
        <v>1651</v>
      </c>
      <c r="C110" s="10" t="n">
        <v>1790</v>
      </c>
      <c r="D110" s="10" t="n">
        <v>1928</v>
      </c>
      <c r="E110" s="11" t="n">
        <f aca="false">E433-SUM(B110:D110)</f>
        <v>2181</v>
      </c>
      <c r="F110" s="10" t="n">
        <v>1879</v>
      </c>
      <c r="G110" s="10" t="n">
        <v>2201</v>
      </c>
      <c r="H110" s="10" t="n">
        <v>2601</v>
      </c>
      <c r="I110" s="11" t="n">
        <f aca="false">I433-SUM(F110:H110)</f>
        <v>2961</v>
      </c>
      <c r="J110" s="17"/>
      <c r="K110" s="17"/>
    </row>
    <row r="111" customFormat="false" ht="15" hidden="false" customHeight="false" outlineLevel="0" collapsed="false">
      <c r="A111" s="9" t="s">
        <v>113</v>
      </c>
      <c r="B111" s="10" t="n">
        <v>1639</v>
      </c>
      <c r="C111" s="10" t="n">
        <v>2062</v>
      </c>
      <c r="D111" s="10" t="n">
        <v>2891</v>
      </c>
      <c r="E111" s="11" t="n">
        <f aca="false">E434-SUM(B111:D111)</f>
        <v>3109</v>
      </c>
      <c r="F111" s="10" t="n">
        <v>1850</v>
      </c>
      <c r="G111" s="10" t="n">
        <v>2245</v>
      </c>
      <c r="H111" s="10" t="n">
        <v>2647</v>
      </c>
      <c r="I111" s="11" t="n">
        <f aca="false">I434-SUM(F111:H111)</f>
        <v>2368</v>
      </c>
      <c r="J111" s="17"/>
      <c r="K111" s="17"/>
    </row>
    <row r="112" customFormat="false" ht="15" hidden="false" customHeight="false" outlineLevel="0" collapsed="false">
      <c r="A112" s="9" t="s">
        <v>114</v>
      </c>
      <c r="B112" s="10" t="n">
        <v>-65</v>
      </c>
      <c r="C112" s="10" t="n">
        <v>-103</v>
      </c>
      <c r="D112" s="10" t="n">
        <v>-112</v>
      </c>
      <c r="E112" s="11" t="n">
        <f aca="false">E435-SUM(B112:D112)</f>
        <v>-162</v>
      </c>
      <c r="F112" s="10" t="n">
        <v>-119</v>
      </c>
      <c r="G112" s="10" t="n">
        <v>-92</v>
      </c>
      <c r="H112" s="10" t="n">
        <v>-119</v>
      </c>
      <c r="I112" s="11" t="n">
        <f aca="false">I435-SUM(F112:H112)</f>
        <v>-121</v>
      </c>
      <c r="J112" s="17"/>
      <c r="K112" s="17"/>
    </row>
    <row r="113" customFormat="false" ht="15" hidden="false" customHeight="false" outlineLevel="0" collapsed="false">
      <c r="A113" s="12" t="s">
        <v>39</v>
      </c>
      <c r="B113" s="13" t="n">
        <v>7260</v>
      </c>
      <c r="C113" s="13" t="n">
        <v>8204</v>
      </c>
      <c r="D113" s="13" t="n">
        <v>8913</v>
      </c>
      <c r="E113" s="14" t="n">
        <f aca="false">E436-SUM(B113:D113)</f>
        <v>10558</v>
      </c>
      <c r="F113" s="13" t="n">
        <v>8032</v>
      </c>
      <c r="G113" s="13" t="n">
        <v>9111</v>
      </c>
      <c r="H113" s="13" t="n">
        <v>9969</v>
      </c>
      <c r="I113" s="14" t="n">
        <f aca="false">I436-SUM(F113:H113)</f>
        <v>10956</v>
      </c>
      <c r="J113" s="22"/>
      <c r="K113" s="22"/>
    </row>
    <row r="114" customFormat="false" ht="15" hidden="false" customHeight="false" outlineLevel="0" collapsed="false">
      <c r="A114" s="9" t="s">
        <v>127</v>
      </c>
      <c r="B114" s="11" t="n">
        <f aca="false">B109+B110+B111+B112-B12</f>
        <v>0</v>
      </c>
      <c r="C114" s="11" t="n">
        <f aca="false">C109+C110+C111+C112-C12</f>
        <v>0</v>
      </c>
      <c r="D114" s="11" t="n">
        <f aca="false">D109+D110+D111+D112-D12</f>
        <v>0</v>
      </c>
      <c r="E114" s="11" t="n">
        <f aca="false">E109+E110+E111+E112-E12</f>
        <v>1</v>
      </c>
      <c r="F114" s="11" t="n">
        <f aca="false">F109+F110+F111+F112-F12</f>
        <v>1</v>
      </c>
      <c r="G114" s="11" t="n">
        <f aca="false">G109+G110+G111+G112-G12</f>
        <v>1</v>
      </c>
      <c r="H114" s="11" t="n">
        <f aca="false">H109+H110+H111+H112-H12</f>
        <v>-2</v>
      </c>
      <c r="I114" s="11" t="n">
        <f aca="false">I109+I110+I111+I112-I12</f>
        <v>0</v>
      </c>
      <c r="J114" s="17"/>
      <c r="K114" s="17"/>
    </row>
    <row r="115" customFormat="false" ht="15" hidden="false" customHeight="false" outlineLevel="0" collapsed="false">
      <c r="A115" s="9" t="s">
        <v>116</v>
      </c>
      <c r="B115" s="17"/>
      <c r="C115" s="17"/>
      <c r="D115" s="17"/>
      <c r="E115" s="17"/>
      <c r="F115" s="18" t="n">
        <f aca="false">IF(B109&lt;&gt;0,F109/B109-1,"")</f>
        <v>0.0961586121437423</v>
      </c>
      <c r="G115" s="18" t="n">
        <f aca="false">IF(C109&lt;&gt;0,G109/C109-1,"")</f>
        <v>0.0680134680134681</v>
      </c>
      <c r="H115" s="18" t="n">
        <f aca="false">IF(D109&lt;&gt;0,H109/D109-1,"")</f>
        <v>0.150261531145982</v>
      </c>
      <c r="I115" s="18" t="n">
        <f aca="false">IF(E109&lt;&gt;0,I109/E109-1,"")</f>
        <v>0.0583686245626955</v>
      </c>
      <c r="J115" s="17"/>
      <c r="K115" s="17"/>
    </row>
    <row r="116" customFormat="false" ht="15" hidden="false" customHeight="false" outlineLevel="0" collapsed="false">
      <c r="A116" s="9" t="s">
        <v>117</v>
      </c>
      <c r="B116" s="17"/>
      <c r="C116" s="17"/>
      <c r="D116" s="17"/>
      <c r="E116" s="17"/>
      <c r="F116" s="18" t="n">
        <f aca="false">IF(B110&lt;&gt;0,F110/B110-1,"")</f>
        <v>0.138098122350091</v>
      </c>
      <c r="G116" s="18" t="n">
        <f aca="false">IF(C110&lt;&gt;0,G110/C110-1,"")</f>
        <v>0.229608938547486</v>
      </c>
      <c r="H116" s="18" t="n">
        <f aca="false">IF(D110&lt;&gt;0,H110/D110-1,"")</f>
        <v>0.349066390041494</v>
      </c>
      <c r="I116" s="18" t="n">
        <f aca="false">IF(E110&lt;&gt;0,I110/E110-1,"")</f>
        <v>0.357634112792297</v>
      </c>
      <c r="J116" s="17"/>
      <c r="K116" s="17"/>
    </row>
    <row r="117" customFormat="false" ht="15" hidden="false" customHeight="false" outlineLevel="0" collapsed="false">
      <c r="A117" s="9" t="s">
        <v>118</v>
      </c>
      <c r="B117" s="17"/>
      <c r="C117" s="17"/>
      <c r="D117" s="17"/>
      <c r="E117" s="17"/>
      <c r="F117" s="18" t="n">
        <f aca="false">IF(B111&lt;&gt;0,F111/B111-1,"")</f>
        <v>0.128737034777303</v>
      </c>
      <c r="G117" s="18" t="n">
        <f aca="false">IF(C111&lt;&gt;0,G111/C111-1,"")</f>
        <v>0.0887487875848692</v>
      </c>
      <c r="H117" s="18" t="n">
        <f aca="false">IF(D111&lt;&gt;0,H111/D111-1,"")</f>
        <v>-0.084399861639571</v>
      </c>
      <c r="I117" s="18" t="n">
        <f aca="false">IF(E111&lt;&gt;0,I111/E111-1,"")</f>
        <v>-0.238340302348022</v>
      </c>
      <c r="J117" s="17"/>
      <c r="K117" s="17"/>
    </row>
    <row r="118" customFormat="false" ht="15" hidden="false" customHeight="false" outlineLevel="0" collapsed="false">
      <c r="A118" s="20" t="s">
        <v>119</v>
      </c>
      <c r="B118" s="20"/>
      <c r="C118" s="20"/>
      <c r="D118" s="20"/>
      <c r="E118" s="20"/>
      <c r="F118" s="20"/>
      <c r="G118" s="20"/>
      <c r="H118" s="20"/>
      <c r="I118" s="20"/>
      <c r="J118" s="20"/>
      <c r="K118" s="20"/>
    </row>
    <row r="119" customFormat="false" ht="15" hidden="false" customHeight="false" outlineLevel="0" collapsed="false">
      <c r="A119" s="9" t="s">
        <v>111</v>
      </c>
      <c r="B119" s="10" t="n">
        <v>345</v>
      </c>
      <c r="C119" s="10" t="n">
        <v>613</v>
      </c>
      <c r="D119" s="10" t="n">
        <v>499</v>
      </c>
      <c r="E119" s="11" t="n">
        <f aca="false">E437-SUM(B119:D119)</f>
        <v>811</v>
      </c>
      <c r="F119" s="10" t="n">
        <v>508</v>
      </c>
      <c r="G119" s="10" t="n">
        <v>778</v>
      </c>
      <c r="H119" s="10" t="n">
        <v>645</v>
      </c>
      <c r="I119" s="11" t="n">
        <f aca="false">I437-SUM(F119:H119)</f>
        <v>971</v>
      </c>
      <c r="J119" s="17"/>
      <c r="K119" s="17"/>
    </row>
    <row r="120" customFormat="false" ht="15" hidden="false" customHeight="false" outlineLevel="0" collapsed="false">
      <c r="A120" s="9" t="s">
        <v>112</v>
      </c>
      <c r="B120" s="10" t="n">
        <v>66</v>
      </c>
      <c r="C120" s="10" t="n">
        <v>129</v>
      </c>
      <c r="D120" s="10" t="n">
        <v>201</v>
      </c>
      <c r="E120" s="11" t="n">
        <f aca="false">E438-SUM(B120:D120)</f>
        <v>283</v>
      </c>
      <c r="F120" s="10" t="n">
        <v>214</v>
      </c>
      <c r="G120" s="10" t="n">
        <v>322</v>
      </c>
      <c r="H120" s="10" t="n">
        <v>393</v>
      </c>
      <c r="I120" s="11" t="n">
        <f aca="false">I438-SUM(F120:H120)</f>
        <v>504</v>
      </c>
      <c r="J120" s="17"/>
      <c r="K120" s="17"/>
    </row>
    <row r="121" customFormat="false" ht="15" hidden="false" customHeight="false" outlineLevel="0" collapsed="false">
      <c r="A121" s="9" t="s">
        <v>113</v>
      </c>
      <c r="B121" s="10" t="n">
        <v>-173</v>
      </c>
      <c r="C121" s="10" t="n">
        <v>-117</v>
      </c>
      <c r="D121" s="10" t="n">
        <v>-317</v>
      </c>
      <c r="E121" s="11" t="n">
        <f aca="false">E439-SUM(B121:D121)</f>
        <v>19</v>
      </c>
      <c r="F121" s="10" t="n">
        <v>-146</v>
      </c>
      <c r="G121" s="10" t="n">
        <v>-165</v>
      </c>
      <c r="H121" s="10" t="n">
        <v>-61</v>
      </c>
      <c r="I121" s="11" t="n">
        <f aca="false">I439-SUM(F121:H121)</f>
        <v>-226</v>
      </c>
      <c r="J121" s="17"/>
      <c r="K121" s="17"/>
    </row>
    <row r="122" customFormat="false" ht="15" hidden="false" customHeight="false" outlineLevel="0" collapsed="false">
      <c r="A122" s="9" t="s">
        <v>120</v>
      </c>
      <c r="B122" s="10" t="n">
        <v>-49</v>
      </c>
      <c r="C122" s="10" t="n">
        <v>-101</v>
      </c>
      <c r="D122" s="10" t="n">
        <v>-140</v>
      </c>
      <c r="E122" s="11" t="n">
        <f aca="false">E440-SUM(B122:D122)</f>
        <v>-33</v>
      </c>
      <c r="F122" s="10" t="n">
        <v>-119</v>
      </c>
      <c r="G122" s="10" t="n">
        <v>-164</v>
      </c>
      <c r="H122" s="10" t="n">
        <v>-166</v>
      </c>
      <c r="I122" s="11" t="n">
        <f aca="false">I440-SUM(F122:H122)</f>
        <v>-92</v>
      </c>
      <c r="J122" s="17"/>
      <c r="K122" s="17"/>
    </row>
    <row r="123" customFormat="false" ht="15" hidden="false" customHeight="false" outlineLevel="0" collapsed="false">
      <c r="A123" s="12" t="s">
        <v>128</v>
      </c>
      <c r="B123" s="13" t="n">
        <v>189</v>
      </c>
      <c r="C123" s="13" t="n">
        <v>524</v>
      </c>
      <c r="D123" s="13" t="n">
        <v>243</v>
      </c>
      <c r="E123" s="14" t="n">
        <f aca="false">E441-SUM(B123:D123)</f>
        <v>1079</v>
      </c>
      <c r="F123" s="13" t="n">
        <v>457</v>
      </c>
      <c r="G123" s="13" t="n">
        <v>770</v>
      </c>
      <c r="H123" s="13" t="n">
        <v>811</v>
      </c>
      <c r="I123" s="14" t="n">
        <f aca="false">I441-SUM(F123:H123)</f>
        <v>1158</v>
      </c>
      <c r="J123" s="22"/>
      <c r="K123" s="22"/>
    </row>
    <row r="124" customFormat="false" ht="15" hidden="false" customHeight="false" outlineLevel="0" collapsed="false">
      <c r="A124" s="9" t="s">
        <v>121</v>
      </c>
      <c r="B124" s="11" t="n">
        <f aca="false">B119+B120+B121+B122-B123</f>
        <v>0</v>
      </c>
      <c r="C124" s="11" t="n">
        <f aca="false">C119+C120+C121+C122-C123</f>
        <v>0</v>
      </c>
      <c r="D124" s="11" t="n">
        <f aca="false">D119+D120+D121+D122-D123</f>
        <v>0</v>
      </c>
      <c r="E124" s="11" t="n">
        <f aca="false">E119+E120+E121+E122-E123</f>
        <v>1</v>
      </c>
      <c r="F124" s="11" t="n">
        <f aca="false">F119+F120+F121+F122-F123</f>
        <v>0</v>
      </c>
      <c r="G124" s="11" t="n">
        <f aca="false">G119+G120+G121+G122-G123</f>
        <v>1</v>
      </c>
      <c r="H124" s="11" t="n">
        <f aca="false">H119+H120+H121+H122-H123</f>
        <v>0</v>
      </c>
      <c r="I124" s="11" t="n">
        <f aca="false">I119+I120+I121+I122-I123</f>
        <v>-1</v>
      </c>
      <c r="J124" s="17"/>
      <c r="K124" s="17"/>
    </row>
    <row r="125" customFormat="false" ht="15" hidden="false" customHeight="false" outlineLevel="0" collapsed="false">
      <c r="A125" s="9" t="s">
        <v>122</v>
      </c>
      <c r="B125" s="18" t="n">
        <f aca="false">B119/B109</f>
        <v>0.0855018587360595</v>
      </c>
      <c r="C125" s="18" t="n">
        <f aca="false">C119/C109</f>
        <v>0.137598204264871</v>
      </c>
      <c r="D125" s="18" t="n">
        <f aca="false">D119/D109</f>
        <v>0.118640038040894</v>
      </c>
      <c r="E125" s="18" t="n">
        <f aca="false">E119/E109</f>
        <v>0.14932793224084</v>
      </c>
      <c r="F125" s="18" t="n">
        <f aca="false">F119/F109</f>
        <v>0.114854171376894</v>
      </c>
      <c r="G125" s="18" t="n">
        <f aca="false">G119/G109</f>
        <v>0.163514081546868</v>
      </c>
      <c r="H125" s="18" t="n">
        <f aca="false">H119/H109</f>
        <v>0.133319553534518</v>
      </c>
      <c r="I125" s="18" t="n">
        <f aca="false">I119/I109</f>
        <v>0.16892832289492</v>
      </c>
      <c r="J125" s="17"/>
      <c r="K125" s="17"/>
    </row>
    <row r="126" customFormat="false" ht="15" hidden="false" customHeight="false" outlineLevel="0" collapsed="false">
      <c r="A126" s="9" t="s">
        <v>123</v>
      </c>
      <c r="B126" s="18" t="n">
        <f aca="false">B120/B110</f>
        <v>0.0399757722592368</v>
      </c>
      <c r="C126" s="18" t="n">
        <f aca="false">C120/C110</f>
        <v>0.0720670391061452</v>
      </c>
      <c r="D126" s="18" t="n">
        <f aca="false">D120/D110</f>
        <v>0.104253112033195</v>
      </c>
      <c r="E126" s="18" t="n">
        <f aca="false">E120/E110</f>
        <v>0.12975699220541</v>
      </c>
      <c r="F126" s="18" t="n">
        <f aca="false">F120/F110</f>
        <v>0.113890367216605</v>
      </c>
      <c r="G126" s="18" t="n">
        <f aca="false">G120/G110</f>
        <v>0.146297137664698</v>
      </c>
      <c r="H126" s="18" t="n">
        <f aca="false">H120/H110</f>
        <v>0.151095732410611</v>
      </c>
      <c r="I126" s="18" t="n">
        <f aca="false">I120/I110</f>
        <v>0.170212765957447</v>
      </c>
      <c r="J126" s="17"/>
      <c r="K126" s="17"/>
    </row>
    <row r="127" customFormat="false" ht="15" hidden="false" customHeight="false" outlineLevel="0" collapsed="false">
      <c r="A127" s="9" t="s">
        <v>124</v>
      </c>
      <c r="B127" s="18" t="n">
        <f aca="false">B121/B111</f>
        <v>-0.105552165954851</v>
      </c>
      <c r="C127" s="18" t="n">
        <f aca="false">C121/C111</f>
        <v>-0.056741028128031</v>
      </c>
      <c r="D127" s="18" t="n">
        <f aca="false">D121/D111</f>
        <v>-0.109650639916984</v>
      </c>
      <c r="E127" s="18" t="n">
        <f aca="false">E121/E111</f>
        <v>0.00611128980379543</v>
      </c>
      <c r="F127" s="18" t="n">
        <f aca="false">F121/F111</f>
        <v>-0.0789189189189189</v>
      </c>
      <c r="G127" s="18" t="n">
        <f aca="false">G121/G111</f>
        <v>-0.0734966592427617</v>
      </c>
      <c r="H127" s="18" t="n">
        <f aca="false">H121/H111</f>
        <v>-0.0230449565545901</v>
      </c>
      <c r="I127" s="18" t="n">
        <f aca="false">I121/I111</f>
        <v>-0.0954391891891892</v>
      </c>
      <c r="J127" s="17"/>
      <c r="K127" s="17"/>
    </row>
    <row r="128" customFormat="false" ht="15" hidden="false" customHeight="false" outlineLevel="0" collapsed="false">
      <c r="A128" s="9" t="s">
        <v>129</v>
      </c>
      <c r="B128" s="18" t="n">
        <f aca="false">B123/B113</f>
        <v>0.0260330578512397</v>
      </c>
      <c r="C128" s="18" t="n">
        <f aca="false">C123/C113</f>
        <v>0.0638712823013164</v>
      </c>
      <c r="D128" s="18" t="n">
        <f aca="false">D123/D113</f>
        <v>0.0272635476270616</v>
      </c>
      <c r="E128" s="18" t="n">
        <f aca="false">E123/E113</f>
        <v>0.102197385868536</v>
      </c>
      <c r="F128" s="18" t="n">
        <f aca="false">F123/F113</f>
        <v>0.0568974103585657</v>
      </c>
      <c r="G128" s="18" t="n">
        <f aca="false">G123/G113</f>
        <v>0.084513225771046</v>
      </c>
      <c r="H128" s="18" t="n">
        <f aca="false">H123/H113</f>
        <v>0.0813521917945631</v>
      </c>
      <c r="I128" s="18" t="n">
        <f aca="false">I123/I113</f>
        <v>0.105695509309967</v>
      </c>
      <c r="J128" s="17"/>
      <c r="K128" s="17"/>
    </row>
    <row r="129" customFormat="false" ht="15" hidden="false" customHeight="false" outlineLevel="0" collapsed="false">
      <c r="A129" s="20" t="s">
        <v>130</v>
      </c>
      <c r="B129" s="20"/>
      <c r="C129" s="20"/>
      <c r="D129" s="20"/>
      <c r="E129" s="20"/>
      <c r="F129" s="20"/>
      <c r="G129" s="20"/>
      <c r="H129" s="20"/>
      <c r="I129" s="20"/>
      <c r="J129" s="20"/>
      <c r="K129" s="20"/>
    </row>
    <row r="130" customFormat="false" ht="15" hidden="false" customHeight="false" outlineLevel="0" collapsed="false">
      <c r="A130" s="9" t="s">
        <v>131</v>
      </c>
      <c r="B130" s="10" t="n">
        <v>1201</v>
      </c>
      <c r="C130" s="10" t="n">
        <v>1285</v>
      </c>
      <c r="D130" s="10" t="n">
        <v>1426</v>
      </c>
      <c r="E130" s="11" t="n">
        <f aca="false">E442-SUM(B130:D130)</f>
        <v>1796</v>
      </c>
      <c r="F130" s="10" t="n">
        <v>1491</v>
      </c>
      <c r="G130" s="10" t="n">
        <v>1504</v>
      </c>
      <c r="H130" s="10" t="n">
        <v>1744</v>
      </c>
      <c r="I130" s="11" t="n">
        <f aca="false">I442-SUM(F130:H130)</f>
        <v>1947</v>
      </c>
      <c r="J130" s="17"/>
      <c r="K130" s="17"/>
    </row>
    <row r="131" customFormat="false" ht="15" hidden="false" customHeight="false" outlineLevel="0" collapsed="false">
      <c r="A131" s="9" t="s">
        <v>132</v>
      </c>
      <c r="B131" s="10" t="n">
        <v>2833</v>
      </c>
      <c r="C131" s="10" t="n">
        <v>3170</v>
      </c>
      <c r="D131" s="10" t="n">
        <v>2781</v>
      </c>
      <c r="E131" s="11" t="n">
        <f aca="false">E443-SUM(B131:D131)</f>
        <v>3635</v>
      </c>
      <c r="F131" s="10" t="n">
        <v>2931</v>
      </c>
      <c r="G131" s="10" t="n">
        <v>3253</v>
      </c>
      <c r="H131" s="10" t="n">
        <v>3094</v>
      </c>
      <c r="I131" s="11" t="n">
        <f aca="false">I443-SUM(F131:H131)</f>
        <v>3803</v>
      </c>
      <c r="J131" s="17"/>
      <c r="K131" s="17"/>
    </row>
    <row r="132" customFormat="false" ht="15" hidden="false" customHeight="false" outlineLevel="0" collapsed="false">
      <c r="A132" s="23" t="s">
        <v>133</v>
      </c>
      <c r="B132" s="10" t="n">
        <v>3041</v>
      </c>
      <c r="C132" s="10" t="n">
        <v>3459</v>
      </c>
      <c r="D132" s="10" t="n">
        <v>3466</v>
      </c>
      <c r="E132" s="11" t="n">
        <f aca="false">E448-SUM(B132:D132)</f>
        <v>4499</v>
      </c>
      <c r="F132" s="10" t="n">
        <v>3579</v>
      </c>
      <c r="G132" s="10" t="n">
        <v>3884</v>
      </c>
      <c r="H132" s="10" t="n">
        <v>3923</v>
      </c>
      <c r="I132" s="11" t="n">
        <f aca="false">I448-SUM(F132:H132)</f>
        <v>4620</v>
      </c>
      <c r="J132" s="17"/>
      <c r="K132" s="17"/>
    </row>
    <row r="133" customFormat="false" ht="15" hidden="false" customHeight="false" outlineLevel="0" collapsed="false">
      <c r="A133" s="23" t="s">
        <v>134</v>
      </c>
      <c r="B133" s="10" t="n">
        <v>229</v>
      </c>
      <c r="C133" s="10" t="n">
        <v>222</v>
      </c>
      <c r="D133" s="10" t="n">
        <v>167</v>
      </c>
      <c r="E133" s="11" t="n">
        <f aca="false">E449-SUM(B133:D133)</f>
        <v>201</v>
      </c>
      <c r="F133" s="10" t="n">
        <v>200</v>
      </c>
      <c r="G133" s="10" t="n">
        <v>189</v>
      </c>
      <c r="H133" s="10" t="n">
        <v>251</v>
      </c>
      <c r="I133" s="11" t="n">
        <f aca="false">I449-SUM(F133:H133)</f>
        <v>378</v>
      </c>
      <c r="J133" s="17"/>
      <c r="K133" s="17"/>
    </row>
    <row r="134" customFormat="false" ht="15" hidden="false" customHeight="false" outlineLevel="0" collapsed="false">
      <c r="A134" s="23" t="s">
        <v>135</v>
      </c>
      <c r="B134" s="10" t="n">
        <v>181</v>
      </c>
      <c r="C134" s="10" t="n">
        <v>182</v>
      </c>
      <c r="D134" s="10" t="n">
        <v>181</v>
      </c>
      <c r="E134" s="11" t="n">
        <f aca="false">E450-SUM(B134:D134)</f>
        <v>237</v>
      </c>
      <c r="F134" s="10" t="n">
        <v>157</v>
      </c>
      <c r="G134" s="10" t="n">
        <v>201</v>
      </c>
      <c r="H134" s="10" t="n">
        <v>223</v>
      </c>
      <c r="I134" s="11" t="n">
        <f aca="false">I450-SUM(F134:H134)</f>
        <v>225</v>
      </c>
      <c r="J134" s="17"/>
      <c r="K134" s="17"/>
    </row>
    <row r="135" customFormat="false" ht="15" hidden="false" customHeight="false" outlineLevel="0" collapsed="false">
      <c r="A135" s="23" t="s">
        <v>136</v>
      </c>
      <c r="B135" s="10" t="n">
        <v>584</v>
      </c>
      <c r="C135" s="10" t="n">
        <v>592</v>
      </c>
      <c r="D135" s="10" t="n">
        <v>393</v>
      </c>
      <c r="E135" s="11" t="n">
        <f aca="false">E451-SUM(B135:D135)</f>
        <v>494</v>
      </c>
      <c r="F135" s="10" t="n">
        <v>487</v>
      </c>
      <c r="G135" s="10" t="n">
        <v>484</v>
      </c>
      <c r="H135" s="10" t="n">
        <v>442</v>
      </c>
      <c r="I135" s="11" t="n">
        <f aca="false">I451-SUM(F135:H135)</f>
        <v>524</v>
      </c>
      <c r="J135" s="17"/>
      <c r="K135" s="17"/>
    </row>
    <row r="136" customFormat="false" ht="15" hidden="false" customHeight="false" outlineLevel="0" collapsed="false">
      <c r="A136" s="9" t="s">
        <v>137</v>
      </c>
      <c r="B136" s="18" t="n">
        <f aca="false">B131/(B130+B131)</f>
        <v>0.702280614774418</v>
      </c>
      <c r="C136" s="18" t="n">
        <f aca="false">C131/(C130+C131)</f>
        <v>0.711560044893378</v>
      </c>
      <c r="D136" s="18" t="n">
        <f aca="false">D131/(D130+D131)</f>
        <v>0.661041121939624</v>
      </c>
      <c r="E136" s="18" t="n">
        <f aca="false">E131/(E130+E131)</f>
        <v>0.669305836862456</v>
      </c>
      <c r="F136" s="18" t="n">
        <f aca="false">F131/(F130+F131)</f>
        <v>0.662822252374491</v>
      </c>
      <c r="G136" s="18" t="n">
        <f aca="false">G131/(G130+G131)</f>
        <v>0.683834349379861</v>
      </c>
      <c r="H136" s="18" t="n">
        <f aca="false">H131/(H130+H131)</f>
        <v>0.63952046300124</v>
      </c>
      <c r="I136" s="18" t="n">
        <f aca="false">I131/(I130+I131)</f>
        <v>0.661391304347826</v>
      </c>
      <c r="J136" s="17"/>
      <c r="K136" s="17"/>
    </row>
    <row r="137" customFormat="false" ht="15" hidden="false" customHeight="false" outlineLevel="0" collapsed="false">
      <c r="A137" s="9" t="s">
        <v>60</v>
      </c>
      <c r="B137" s="17"/>
      <c r="C137" s="17"/>
      <c r="D137" s="17"/>
      <c r="E137" s="17"/>
      <c r="F137" s="18" t="n">
        <f aca="false">F130/B130-1</f>
        <v>0.241465445462115</v>
      </c>
      <c r="G137" s="18" t="n">
        <f aca="false">G130/C130-1</f>
        <v>0.170428015564202</v>
      </c>
      <c r="H137" s="18" t="n">
        <f aca="false">H130/D130-1</f>
        <v>0.223001402524544</v>
      </c>
      <c r="I137" s="18" t="n">
        <f aca="false">I130/E130-1</f>
        <v>0.084075723830735</v>
      </c>
      <c r="J137" s="17"/>
      <c r="K137" s="17"/>
    </row>
    <row r="138" customFormat="false" ht="15" hidden="false" customHeight="false" outlineLevel="0" collapsed="false">
      <c r="A138" s="9" t="s">
        <v>61</v>
      </c>
      <c r="B138" s="17"/>
      <c r="C138" s="17"/>
      <c r="D138" s="17"/>
      <c r="E138" s="17"/>
      <c r="F138" s="18" t="n">
        <f aca="false">F131/B131-1</f>
        <v>0.0345923049770562</v>
      </c>
      <c r="G138" s="18" t="n">
        <f aca="false">G131/C131-1</f>
        <v>0.0261829652996846</v>
      </c>
      <c r="H138" s="18" t="n">
        <f aca="false">H131/D131-1</f>
        <v>0.11254944264653</v>
      </c>
      <c r="I138" s="18" t="n">
        <f aca="false">I131/E131-1</f>
        <v>0.0462173314993122</v>
      </c>
      <c r="J138" s="17"/>
      <c r="K138" s="17"/>
    </row>
    <row r="139" customFormat="false" ht="15" hidden="false" customHeight="false" outlineLevel="0" collapsed="false">
      <c r="A139" s="20" t="s">
        <v>138</v>
      </c>
      <c r="B139" s="20"/>
      <c r="C139" s="20"/>
      <c r="D139" s="20"/>
      <c r="E139" s="20"/>
      <c r="F139" s="20"/>
      <c r="G139" s="20"/>
      <c r="H139" s="20"/>
      <c r="I139" s="20"/>
      <c r="J139" s="20"/>
      <c r="K139" s="20"/>
    </row>
    <row r="140" customFormat="false" ht="15" hidden="false" customHeight="false" outlineLevel="0" collapsed="false">
      <c r="A140" s="9" t="s">
        <v>131</v>
      </c>
      <c r="B140" s="10" t="n">
        <v>1230</v>
      </c>
      <c r="C140" s="10" t="n">
        <v>1286</v>
      </c>
      <c r="D140" s="10" t="n">
        <v>1451</v>
      </c>
      <c r="E140" s="11" t="n">
        <f aca="false">E444-SUM(B140:D140)</f>
        <v>1567</v>
      </c>
      <c r="F140" s="10" t="n">
        <v>1391</v>
      </c>
      <c r="G140" s="10" t="n">
        <v>1673</v>
      </c>
      <c r="H140" s="10" t="n">
        <v>2035</v>
      </c>
      <c r="I140" s="11" t="n">
        <f aca="false">I444-SUM(F140:H140)</f>
        <v>2279</v>
      </c>
      <c r="J140" s="17"/>
      <c r="K140" s="17"/>
    </row>
    <row r="141" customFormat="false" ht="15" hidden="false" customHeight="false" outlineLevel="0" collapsed="false">
      <c r="A141" s="9" t="s">
        <v>132</v>
      </c>
      <c r="B141" s="10" t="n">
        <v>421</v>
      </c>
      <c r="C141" s="10" t="n">
        <v>504</v>
      </c>
      <c r="D141" s="10" t="n">
        <v>477</v>
      </c>
      <c r="E141" s="11" t="n">
        <f aca="false">E445-SUM(B141:D141)</f>
        <v>613</v>
      </c>
      <c r="F141" s="10" t="n">
        <v>487</v>
      </c>
      <c r="G141" s="10" t="n">
        <v>528</v>
      </c>
      <c r="H141" s="10" t="n">
        <v>566</v>
      </c>
      <c r="I141" s="11" t="n">
        <f aca="false">I445-SUM(F141:H141)</f>
        <v>682</v>
      </c>
      <c r="J141" s="17"/>
      <c r="K141" s="17"/>
    </row>
    <row r="142" customFormat="false" ht="15" hidden="false" customHeight="false" outlineLevel="0" collapsed="false">
      <c r="A142" s="23" t="s">
        <v>139</v>
      </c>
      <c r="B142" s="10" t="n">
        <v>1109</v>
      </c>
      <c r="C142" s="10" t="n">
        <v>1142</v>
      </c>
      <c r="D142" s="10" t="n">
        <v>1270</v>
      </c>
      <c r="E142" s="11" t="n">
        <f aca="false">E452-SUM(B142:D142)</f>
        <v>1436</v>
      </c>
      <c r="F142" s="10" t="n">
        <v>1275</v>
      </c>
      <c r="G142" s="10" t="n">
        <v>1570</v>
      </c>
      <c r="H142" s="10" t="n">
        <v>1747</v>
      </c>
      <c r="I142" s="11" t="n">
        <f aca="false">I452-SUM(F142:H142)</f>
        <v>2028</v>
      </c>
      <c r="J142" s="17"/>
      <c r="K142" s="17"/>
    </row>
    <row r="143" customFormat="false" ht="15" hidden="false" customHeight="false" outlineLevel="0" collapsed="false">
      <c r="A143" s="23" t="s">
        <v>140</v>
      </c>
      <c r="B143" s="10" t="n">
        <v>336</v>
      </c>
      <c r="C143" s="10" t="n">
        <v>426</v>
      </c>
      <c r="D143" s="10" t="n">
        <v>440</v>
      </c>
      <c r="E143" s="11" t="n">
        <f aca="false">E453-SUM(B143:D143)</f>
        <v>474</v>
      </c>
      <c r="F143" s="10" t="n">
        <v>381</v>
      </c>
      <c r="G143" s="10" t="n">
        <v>411</v>
      </c>
      <c r="H143" s="10" t="n">
        <v>621</v>
      </c>
      <c r="I143" s="11" t="n">
        <f aca="false">I453-SUM(F143:H143)</f>
        <v>636</v>
      </c>
      <c r="J143" s="17"/>
      <c r="K143" s="17"/>
    </row>
    <row r="144" customFormat="false" ht="15" hidden="false" customHeight="false" outlineLevel="0" collapsed="false">
      <c r="A144" s="23" t="s">
        <v>141</v>
      </c>
      <c r="B144" s="10" t="n">
        <v>206</v>
      </c>
      <c r="C144" s="10" t="n">
        <v>223</v>
      </c>
      <c r="D144" s="10" t="n">
        <v>218</v>
      </c>
      <c r="E144" s="11" t="n">
        <f aca="false">E454-SUM(B144:D144)</f>
        <v>270</v>
      </c>
      <c r="F144" s="10" t="n">
        <v>224</v>
      </c>
      <c r="G144" s="10" t="n">
        <v>220</v>
      </c>
      <c r="H144" s="10" t="n">
        <v>234</v>
      </c>
      <c r="I144" s="11" t="n">
        <f aca="false">I454-SUM(F144:H144)</f>
        <v>295</v>
      </c>
      <c r="J144" s="17"/>
      <c r="K144" s="17"/>
    </row>
    <row r="145" customFormat="false" ht="15" hidden="false" customHeight="false" outlineLevel="0" collapsed="false">
      <c r="A145" s="9" t="s">
        <v>137</v>
      </c>
      <c r="B145" s="18" t="n">
        <f aca="false">B141/(B140+B141)</f>
        <v>0.254996971532405</v>
      </c>
      <c r="C145" s="18" t="n">
        <f aca="false">C141/(C140+C141)</f>
        <v>0.281564245810056</v>
      </c>
      <c r="D145" s="18" t="n">
        <f aca="false">D141/(D140+D141)</f>
        <v>0.247406639004149</v>
      </c>
      <c r="E145" s="18" t="n">
        <f aca="false">E141/(E140+E141)</f>
        <v>0.281192660550459</v>
      </c>
      <c r="F145" s="18" t="n">
        <f aca="false">F141/(F140+F141)</f>
        <v>0.259318423855165</v>
      </c>
      <c r="G145" s="18" t="n">
        <f aca="false">G141/(G140+G141)</f>
        <v>0.239890958655157</v>
      </c>
      <c r="H145" s="18" t="n">
        <f aca="false">H141/(H140+H141)</f>
        <v>0.21760861207228</v>
      </c>
      <c r="I145" s="18" t="n">
        <f aca="false">I141/(I140+I141)</f>
        <v>0.23032759202972</v>
      </c>
      <c r="J145" s="17"/>
      <c r="K145" s="17"/>
    </row>
    <row r="146" customFormat="false" ht="15" hidden="false" customHeight="false" outlineLevel="0" collapsed="false">
      <c r="A146" s="9" t="s">
        <v>60</v>
      </c>
      <c r="B146" s="17"/>
      <c r="C146" s="17"/>
      <c r="D146" s="17"/>
      <c r="E146" s="17"/>
      <c r="F146" s="18" t="n">
        <f aca="false">F140/B140-1</f>
        <v>0.130894308943089</v>
      </c>
      <c r="G146" s="18" t="n">
        <f aca="false">G140/C140-1</f>
        <v>0.300933125972006</v>
      </c>
      <c r="H146" s="18" t="n">
        <f aca="false">H140/D140-1</f>
        <v>0.402481047553412</v>
      </c>
      <c r="I146" s="18" t="n">
        <f aca="false">I140/E140-1</f>
        <v>0.454371410338226</v>
      </c>
      <c r="J146" s="17"/>
      <c r="K146" s="17"/>
    </row>
    <row r="147" customFormat="false" ht="15" hidden="false" customHeight="false" outlineLevel="0" collapsed="false">
      <c r="A147" s="9" t="s">
        <v>61</v>
      </c>
      <c r="B147" s="17"/>
      <c r="C147" s="17"/>
      <c r="D147" s="17"/>
      <c r="E147" s="17"/>
      <c r="F147" s="18" t="n">
        <f aca="false">F141/B141-1</f>
        <v>0.156769596199525</v>
      </c>
      <c r="G147" s="18" t="n">
        <f aca="false">G141/C141-1</f>
        <v>0.0476190476190477</v>
      </c>
      <c r="H147" s="18" t="n">
        <f aca="false">H141/D141-1</f>
        <v>0.186582809224319</v>
      </c>
      <c r="I147" s="18" t="n">
        <f aca="false">I141/E141-1</f>
        <v>0.112561174551387</v>
      </c>
      <c r="J147" s="17"/>
      <c r="K147" s="17"/>
    </row>
    <row r="148" customFormat="false" ht="15" hidden="false" customHeight="false" outlineLevel="0" collapsed="false">
      <c r="A148" s="20" t="s">
        <v>142</v>
      </c>
      <c r="B148" s="20"/>
      <c r="C148" s="20"/>
      <c r="D148" s="20"/>
      <c r="E148" s="20"/>
      <c r="F148" s="20"/>
      <c r="G148" s="20"/>
      <c r="H148" s="20"/>
      <c r="I148" s="20"/>
      <c r="J148" s="20"/>
      <c r="K148" s="20"/>
    </row>
    <row r="149" customFormat="false" ht="15" hidden="false" customHeight="false" outlineLevel="0" collapsed="false">
      <c r="A149" s="9" t="s">
        <v>131</v>
      </c>
      <c r="B149" s="10" t="n">
        <v>1232</v>
      </c>
      <c r="C149" s="10" t="n">
        <v>1668</v>
      </c>
      <c r="D149" s="10" t="n">
        <v>2494</v>
      </c>
      <c r="E149" s="11" t="n">
        <f aca="false">E446-SUM(B149:D149)</f>
        <v>2653</v>
      </c>
      <c r="F149" s="10" t="n">
        <v>1412</v>
      </c>
      <c r="G149" s="10" t="n">
        <v>1797</v>
      </c>
      <c r="H149" s="10" t="n">
        <v>2203</v>
      </c>
      <c r="I149" s="11" t="n">
        <f aca="false">I446-SUM(F149:H149)</f>
        <v>1839</v>
      </c>
      <c r="J149" s="17"/>
      <c r="K149" s="17"/>
    </row>
    <row r="150" customFormat="false" ht="15" hidden="false" customHeight="false" outlineLevel="0" collapsed="false">
      <c r="A150" s="9" t="s">
        <v>132</v>
      </c>
      <c r="B150" s="10" t="n">
        <v>407</v>
      </c>
      <c r="C150" s="10" t="n">
        <v>394</v>
      </c>
      <c r="D150" s="10" t="n">
        <v>397</v>
      </c>
      <c r="E150" s="11" t="n">
        <f aca="false">E447-SUM(B150:D150)</f>
        <v>456</v>
      </c>
      <c r="F150" s="10" t="n">
        <v>438</v>
      </c>
      <c r="G150" s="10" t="n">
        <v>448</v>
      </c>
      <c r="H150" s="10" t="n">
        <v>445</v>
      </c>
      <c r="I150" s="11" t="n">
        <f aca="false">I447-SUM(F150:H150)</f>
        <v>528</v>
      </c>
      <c r="J150" s="17"/>
      <c r="K150" s="17"/>
    </row>
    <row r="151" customFormat="false" ht="15" hidden="false" customHeight="false" outlineLevel="0" collapsed="false">
      <c r="A151" s="23" t="s">
        <v>143</v>
      </c>
      <c r="B151" s="10" t="n">
        <v>1059</v>
      </c>
      <c r="C151" s="10" t="n">
        <v>1560</v>
      </c>
      <c r="D151" s="10" t="n">
        <v>2355</v>
      </c>
      <c r="E151" s="11" t="n">
        <f aca="false">E455-SUM(B151:D151)</f>
        <v>2807</v>
      </c>
      <c r="F151" s="10" t="n">
        <v>1583</v>
      </c>
      <c r="G151" s="10" t="n">
        <v>1962</v>
      </c>
      <c r="H151" s="10" t="n">
        <v>2402</v>
      </c>
      <c r="I151" s="11" t="n">
        <f aca="false">I455-SUM(F151:H151)</f>
        <v>2294</v>
      </c>
      <c r="J151" s="17"/>
      <c r="K151" s="17"/>
    </row>
    <row r="152" customFormat="false" ht="15" hidden="false" customHeight="false" outlineLevel="0" collapsed="false">
      <c r="A152" s="23" t="s">
        <v>144</v>
      </c>
      <c r="B152" s="10" t="n">
        <v>441</v>
      </c>
      <c r="C152" s="10" t="n">
        <v>353</v>
      </c>
      <c r="D152" s="10" t="n">
        <v>388</v>
      </c>
      <c r="E152" s="11" t="n">
        <f aca="false">E456-SUM(B152:D152)</f>
        <v>195</v>
      </c>
      <c r="F152" s="10" t="n">
        <v>204</v>
      </c>
      <c r="G152" s="10" t="n">
        <v>225</v>
      </c>
      <c r="H152" s="10" t="n">
        <v>195</v>
      </c>
      <c r="I152" s="11" t="n">
        <f aca="false">I456-SUM(F152:H152)</f>
        <v>28</v>
      </c>
      <c r="J152" s="17"/>
      <c r="K152" s="17"/>
    </row>
    <row r="153" customFormat="false" ht="15" hidden="false" customHeight="false" outlineLevel="0" collapsed="false">
      <c r="A153" s="23" t="s">
        <v>145</v>
      </c>
      <c r="B153" s="10" t="n">
        <v>139</v>
      </c>
      <c r="C153" s="10" t="n">
        <v>149</v>
      </c>
      <c r="D153" s="10" t="n">
        <v>148</v>
      </c>
      <c r="E153" s="11" t="n">
        <f aca="false">E457-SUM(B153:D153)</f>
        <v>106</v>
      </c>
      <c r="F153" s="10" t="n">
        <v>63</v>
      </c>
      <c r="G153" s="10" t="n">
        <v>58</v>
      </c>
      <c r="H153" s="10" t="n">
        <v>51</v>
      </c>
      <c r="I153" s="11" t="n">
        <f aca="false">I457-SUM(F153:H153)</f>
        <v>45</v>
      </c>
      <c r="J153" s="17"/>
      <c r="K153" s="17"/>
    </row>
    <row r="154" customFormat="false" ht="15" hidden="false" customHeight="false" outlineLevel="0" collapsed="false">
      <c r="A154" s="9" t="s">
        <v>137</v>
      </c>
      <c r="B154" s="18" t="n">
        <f aca="false">B150/(B149+B150)</f>
        <v>0.248322147651007</v>
      </c>
      <c r="C154" s="18" t="n">
        <f aca="false">C150/(C149+C150)</f>
        <v>0.191076624636275</v>
      </c>
      <c r="D154" s="18" t="n">
        <f aca="false">D150/(D149+D150)</f>
        <v>0.13732272570045</v>
      </c>
      <c r="E154" s="18" t="n">
        <f aca="false">E150/(E149+E150)</f>
        <v>0.14667095529109</v>
      </c>
      <c r="F154" s="18" t="n">
        <f aca="false">F150/(F149+F150)</f>
        <v>0.236756756756757</v>
      </c>
      <c r="G154" s="18" t="n">
        <f aca="false">G150/(G149+G150)</f>
        <v>0.199554565701559</v>
      </c>
      <c r="H154" s="18" t="n">
        <f aca="false">H150/(H149+H150)</f>
        <v>0.168051359516616</v>
      </c>
      <c r="I154" s="18" t="n">
        <f aca="false">I150/(I149+I150)</f>
        <v>0.223067173637516</v>
      </c>
      <c r="J154" s="17"/>
      <c r="K154" s="17"/>
    </row>
    <row r="155" customFormat="false" ht="15" hidden="false" customHeight="false" outlineLevel="0" collapsed="false">
      <c r="A155" s="9" t="s">
        <v>60</v>
      </c>
      <c r="B155" s="17"/>
      <c r="C155" s="17"/>
      <c r="D155" s="17"/>
      <c r="E155" s="17"/>
      <c r="F155" s="18" t="n">
        <f aca="false">F149/B149-1</f>
        <v>0.146103896103896</v>
      </c>
      <c r="G155" s="18" t="n">
        <f aca="false">G149/C149-1</f>
        <v>0.0773381294964028</v>
      </c>
      <c r="H155" s="18" t="n">
        <f aca="false">H149/D149-1</f>
        <v>-0.116680032076985</v>
      </c>
      <c r="I155" s="18" t="n">
        <f aca="false">I149/E149-1</f>
        <v>-0.306822465133811</v>
      </c>
      <c r="J155" s="17"/>
      <c r="K155" s="17"/>
    </row>
    <row r="156" customFormat="false" ht="15" hidden="false" customHeight="false" outlineLevel="0" collapsed="false">
      <c r="A156" s="9" t="s">
        <v>61</v>
      </c>
      <c r="B156" s="17"/>
      <c r="C156" s="17"/>
      <c r="D156" s="17"/>
      <c r="E156" s="17"/>
      <c r="F156" s="18" t="n">
        <f aca="false">F150/B150-1</f>
        <v>0.0761670761670761</v>
      </c>
      <c r="G156" s="18" t="n">
        <f aca="false">G150/C150-1</f>
        <v>0.137055837563452</v>
      </c>
      <c r="H156" s="18" t="n">
        <f aca="false">H150/D150-1</f>
        <v>0.120906801007557</v>
      </c>
      <c r="I156" s="18" t="n">
        <f aca="false">I150/E150-1</f>
        <v>0.157894736842105</v>
      </c>
      <c r="J156" s="17"/>
      <c r="K156" s="17"/>
    </row>
    <row r="158" customFormat="false" ht="15" hidden="false" customHeight="false" outlineLevel="0" collapsed="false">
      <c r="A158" s="8" t="s">
        <v>146</v>
      </c>
      <c r="B158" s="8"/>
      <c r="C158" s="8"/>
      <c r="D158" s="8"/>
      <c r="E158" s="8"/>
      <c r="F158" s="8"/>
      <c r="G158" s="8"/>
      <c r="H158" s="8"/>
      <c r="I158" s="8"/>
      <c r="J158" s="8"/>
      <c r="K158" s="8"/>
    </row>
    <row r="159" customFormat="false" ht="15" hidden="false" customHeight="false" outlineLevel="0" collapsed="false">
      <c r="A159" s="2" t="s">
        <v>147</v>
      </c>
    </row>
    <row r="160" customFormat="false" ht="15" hidden="false" customHeight="false" outlineLevel="0" collapsed="false">
      <c r="A160" s="20" t="s">
        <v>110</v>
      </c>
      <c r="B160" s="20"/>
      <c r="C160" s="20"/>
      <c r="D160" s="20"/>
      <c r="E160" s="20"/>
      <c r="F160" s="20"/>
      <c r="G160" s="20"/>
      <c r="H160" s="20"/>
      <c r="I160" s="20"/>
      <c r="J160" s="20"/>
      <c r="K160" s="20"/>
    </row>
    <row r="161" customFormat="false" ht="15" hidden="false" customHeight="false" outlineLevel="0" collapsed="false">
      <c r="A161" s="9" t="s">
        <v>111</v>
      </c>
      <c r="B161" s="17"/>
      <c r="C161" s="17"/>
      <c r="D161" s="17"/>
      <c r="E161" s="17"/>
      <c r="F161" s="10" t="n">
        <v>4449</v>
      </c>
      <c r="G161" s="10" t="n">
        <v>4785</v>
      </c>
      <c r="H161" s="17"/>
      <c r="I161" s="17"/>
      <c r="J161" s="10" t="n">
        <v>4971</v>
      </c>
      <c r="K161" s="10" t="n">
        <v>5477</v>
      </c>
    </row>
    <row r="162" customFormat="false" ht="15" hidden="false" customHeight="false" outlineLevel="0" collapsed="false">
      <c r="A162" s="9" t="s">
        <v>112</v>
      </c>
      <c r="B162" s="17"/>
      <c r="C162" s="17"/>
      <c r="D162" s="17"/>
      <c r="E162" s="17"/>
      <c r="F162" s="10" t="n">
        <v>1840</v>
      </c>
      <c r="G162" s="10" t="n">
        <v>2162</v>
      </c>
      <c r="H162" s="17"/>
      <c r="I162" s="17"/>
      <c r="J162" s="10" t="n">
        <v>2959</v>
      </c>
      <c r="K162" s="10" t="n">
        <v>3637</v>
      </c>
    </row>
    <row r="163" customFormat="false" ht="15" hidden="false" customHeight="false" outlineLevel="0" collapsed="false">
      <c r="A163" s="9" t="s">
        <v>113</v>
      </c>
      <c r="B163" s="17"/>
      <c r="C163" s="17"/>
      <c r="D163" s="17"/>
      <c r="E163" s="17"/>
      <c r="F163" s="10" t="n">
        <v>1850</v>
      </c>
      <c r="G163" s="10" t="n">
        <v>2245</v>
      </c>
      <c r="H163" s="17"/>
      <c r="I163" s="17"/>
      <c r="J163" s="10" t="n">
        <v>1432</v>
      </c>
      <c r="K163" s="10" t="n">
        <v>2026</v>
      </c>
    </row>
    <row r="164" customFormat="false" ht="15" hidden="false" customHeight="false" outlineLevel="0" collapsed="false">
      <c r="A164" s="9" t="s">
        <v>114</v>
      </c>
      <c r="B164" s="17"/>
      <c r="C164" s="17"/>
      <c r="D164" s="17"/>
      <c r="E164" s="17"/>
      <c r="F164" s="10" t="n">
        <v>-107</v>
      </c>
      <c r="G164" s="10" t="n">
        <v>-80</v>
      </c>
      <c r="H164" s="17"/>
      <c r="I164" s="17"/>
      <c r="J164" s="10" t="n">
        <v>-25</v>
      </c>
      <c r="K164" s="10" t="n">
        <v>-37</v>
      </c>
    </row>
    <row r="165" customFormat="false" ht="15" hidden="false" customHeight="false" outlineLevel="0" collapsed="false">
      <c r="A165" s="12" t="s">
        <v>39</v>
      </c>
      <c r="B165" s="22"/>
      <c r="C165" s="22"/>
      <c r="D165" s="22"/>
      <c r="E165" s="22"/>
      <c r="F165" s="13" t="n">
        <v>8032</v>
      </c>
      <c r="G165" s="13" t="n">
        <v>9111</v>
      </c>
      <c r="H165" s="22"/>
      <c r="I165" s="22"/>
      <c r="J165" s="13" t="n">
        <v>9339</v>
      </c>
      <c r="K165" s="13" t="n">
        <v>11104</v>
      </c>
    </row>
    <row r="166" customFormat="false" ht="15" hidden="false" customHeight="false" outlineLevel="0" collapsed="false">
      <c r="A166" s="9" t="s">
        <v>127</v>
      </c>
      <c r="B166" s="17"/>
      <c r="C166" s="17"/>
      <c r="D166" s="17"/>
      <c r="E166" s="17"/>
      <c r="F166" s="11" t="n">
        <f aca="false">F161+F162+F163+F164-F12</f>
        <v>0</v>
      </c>
      <c r="G166" s="11" t="n">
        <f aca="false">G161+G162+G163+G164-G12</f>
        <v>1</v>
      </c>
      <c r="H166" s="17"/>
      <c r="I166" s="17"/>
      <c r="J166" s="11" t="n">
        <f aca="false">J161+J162+J163+J164-J12</f>
        <v>-2</v>
      </c>
      <c r="K166" s="11" t="n">
        <f aca="false">K161+K162+K163+K164-K12</f>
        <v>-1</v>
      </c>
    </row>
    <row r="167" customFormat="false" ht="15" hidden="false" customHeight="false" outlineLevel="0" collapsed="false">
      <c r="A167" s="9" t="s">
        <v>116</v>
      </c>
      <c r="B167" s="17"/>
      <c r="C167" s="17"/>
      <c r="D167" s="17"/>
      <c r="E167" s="17"/>
      <c r="F167" s="17"/>
      <c r="G167" s="17"/>
      <c r="H167" s="17"/>
      <c r="I167" s="17"/>
      <c r="J167" s="18" t="n">
        <f aca="false">IF(F161&lt;&gt;0,J161/F161-1,"")</f>
        <v>0.117329737019555</v>
      </c>
      <c r="K167" s="18" t="n">
        <f aca="false">IF(G161&lt;&gt;0,K161/G161-1,"")</f>
        <v>0.144618599791014</v>
      </c>
    </row>
    <row r="168" customFormat="false" ht="15" hidden="false" customHeight="false" outlineLevel="0" collapsed="false">
      <c r="A168" s="9" t="s">
        <v>117</v>
      </c>
      <c r="B168" s="17"/>
      <c r="C168" s="17"/>
      <c r="D168" s="17"/>
      <c r="E168" s="17"/>
      <c r="F168" s="17"/>
      <c r="G168" s="17"/>
      <c r="H168" s="17"/>
      <c r="I168" s="17"/>
      <c r="J168" s="18" t="n">
        <f aca="false">IF(F162&lt;&gt;0,J162/F162-1,"")</f>
        <v>0.608152173913044</v>
      </c>
      <c r="K168" s="18" t="n">
        <f aca="false">IF(G162&lt;&gt;0,K162/G162-1,"")</f>
        <v>0.682238667900093</v>
      </c>
    </row>
    <row r="169" customFormat="false" ht="15" hidden="false" customHeight="false" outlineLevel="0" collapsed="false">
      <c r="A169" s="9" t="s">
        <v>118</v>
      </c>
      <c r="B169" s="17"/>
      <c r="C169" s="17"/>
      <c r="D169" s="17"/>
      <c r="E169" s="17"/>
      <c r="F169" s="17"/>
      <c r="G169" s="17"/>
      <c r="H169" s="17"/>
      <c r="I169" s="17"/>
      <c r="J169" s="18" t="n">
        <f aca="false">IF(F163&lt;&gt;0,J163/F163-1,"")</f>
        <v>-0.225945945945946</v>
      </c>
      <c r="K169" s="18" t="n">
        <f aca="false">IF(G163&lt;&gt;0,K163/G163-1,"")</f>
        <v>-0.0975501113585746</v>
      </c>
    </row>
    <row r="170" customFormat="false" ht="15" hidden="false" customHeight="false" outlineLevel="0" collapsed="false">
      <c r="A170" s="20" t="s">
        <v>119</v>
      </c>
      <c r="B170" s="20"/>
      <c r="C170" s="20"/>
      <c r="D170" s="20"/>
      <c r="E170" s="20"/>
      <c r="F170" s="20"/>
      <c r="G170" s="20"/>
      <c r="H170" s="20"/>
      <c r="I170" s="20"/>
      <c r="J170" s="20"/>
      <c r="K170" s="20"/>
    </row>
    <row r="171" customFormat="false" ht="15" hidden="false" customHeight="false" outlineLevel="0" collapsed="false">
      <c r="A171" s="9" t="s">
        <v>111</v>
      </c>
      <c r="B171" s="17"/>
      <c r="C171" s="17"/>
      <c r="D171" s="17"/>
      <c r="E171" s="17"/>
      <c r="F171" s="10" t="n">
        <v>517</v>
      </c>
      <c r="G171" s="10" t="n">
        <v>785</v>
      </c>
      <c r="H171" s="17"/>
      <c r="I171" s="17"/>
      <c r="J171" s="10" t="n">
        <v>811</v>
      </c>
      <c r="K171" s="10" t="n">
        <v>1031</v>
      </c>
    </row>
    <row r="172" customFormat="false" ht="15" hidden="false" customHeight="false" outlineLevel="0" collapsed="false">
      <c r="A172" s="9" t="s">
        <v>112</v>
      </c>
      <c r="B172" s="17"/>
      <c r="C172" s="17"/>
      <c r="D172" s="17"/>
      <c r="E172" s="17"/>
      <c r="F172" s="10" t="n">
        <v>205</v>
      </c>
      <c r="G172" s="10" t="n">
        <v>314</v>
      </c>
      <c r="H172" s="17"/>
      <c r="I172" s="17"/>
      <c r="J172" s="10" t="n">
        <v>528</v>
      </c>
      <c r="K172" s="10" t="n">
        <v>671</v>
      </c>
    </row>
    <row r="173" customFormat="false" ht="15" hidden="false" customHeight="false" outlineLevel="0" collapsed="false">
      <c r="A173" s="9" t="s">
        <v>113</v>
      </c>
      <c r="B173" s="17"/>
      <c r="C173" s="17"/>
      <c r="D173" s="17"/>
      <c r="E173" s="17"/>
      <c r="F173" s="10" t="n">
        <v>-146</v>
      </c>
      <c r="G173" s="10" t="n">
        <v>-165</v>
      </c>
      <c r="H173" s="17"/>
      <c r="I173" s="17"/>
      <c r="J173" s="10" t="n">
        <v>-382</v>
      </c>
      <c r="K173" s="10" t="n">
        <v>-275</v>
      </c>
    </row>
    <row r="174" customFormat="false" ht="15" hidden="false" customHeight="false" outlineLevel="0" collapsed="false">
      <c r="A174" s="9" t="s">
        <v>120</v>
      </c>
      <c r="B174" s="17"/>
      <c r="C174" s="17"/>
      <c r="D174" s="17"/>
      <c r="E174" s="17"/>
      <c r="F174" s="10" t="n">
        <v>-119</v>
      </c>
      <c r="G174" s="10" t="n">
        <v>-164</v>
      </c>
      <c r="H174" s="17"/>
      <c r="I174" s="17"/>
      <c r="J174" s="10" t="n">
        <v>-62</v>
      </c>
      <c r="K174" s="10" t="n">
        <v>-177</v>
      </c>
    </row>
    <row r="175" customFormat="false" ht="15" hidden="false" customHeight="false" outlineLevel="0" collapsed="false">
      <c r="A175" s="12" t="s">
        <v>128</v>
      </c>
      <c r="B175" s="22"/>
      <c r="C175" s="22"/>
      <c r="D175" s="22"/>
      <c r="E175" s="22"/>
      <c r="F175" s="13" t="n">
        <v>457</v>
      </c>
      <c r="G175" s="13" t="n">
        <v>770</v>
      </c>
      <c r="H175" s="22"/>
      <c r="I175" s="22"/>
      <c r="J175" s="13" t="n">
        <v>896</v>
      </c>
      <c r="K175" s="13" t="n">
        <v>1250</v>
      </c>
    </row>
    <row r="176" customFormat="false" ht="15" hidden="false" customHeight="false" outlineLevel="0" collapsed="false">
      <c r="A176" s="9" t="s">
        <v>121</v>
      </c>
      <c r="B176" s="17"/>
      <c r="C176" s="17"/>
      <c r="D176" s="17"/>
      <c r="E176" s="17"/>
      <c r="F176" s="11" t="n">
        <f aca="false">F171+F172+F173+F174-F175</f>
        <v>0</v>
      </c>
      <c r="G176" s="11" t="n">
        <f aca="false">G171+G172+G173+G174-G175</f>
        <v>0</v>
      </c>
      <c r="H176" s="17"/>
      <c r="I176" s="17"/>
      <c r="J176" s="11" t="n">
        <f aca="false">J171+J172+J173+J174-J175</f>
        <v>-1</v>
      </c>
      <c r="K176" s="11" t="n">
        <f aca="false">K171+K172+K173+K174-K175</f>
        <v>0</v>
      </c>
    </row>
    <row r="177" customFormat="false" ht="15" hidden="false" customHeight="false" outlineLevel="0" collapsed="false">
      <c r="A177" s="9" t="s">
        <v>122</v>
      </c>
      <c r="B177" s="17"/>
      <c r="C177" s="17"/>
      <c r="D177" s="17"/>
      <c r="E177" s="17"/>
      <c r="F177" s="18" t="n">
        <f aca="false">F171/F161</f>
        <v>0.116205888963812</v>
      </c>
      <c r="G177" s="18" t="n">
        <f aca="false">G171/G161</f>
        <v>0.16405433646813</v>
      </c>
      <c r="H177" s="17"/>
      <c r="I177" s="17"/>
      <c r="J177" s="18" t="n">
        <f aca="false">J171/J161</f>
        <v>0.163146248239791</v>
      </c>
      <c r="K177" s="18" t="n">
        <f aca="false">K171/K161</f>
        <v>0.188241738177835</v>
      </c>
    </row>
    <row r="178" customFormat="false" ht="15" hidden="false" customHeight="false" outlineLevel="0" collapsed="false">
      <c r="A178" s="9" t="s">
        <v>123</v>
      </c>
      <c r="B178" s="17"/>
      <c r="C178" s="17"/>
      <c r="D178" s="17"/>
      <c r="E178" s="17"/>
      <c r="F178" s="18" t="n">
        <f aca="false">F172/F162</f>
        <v>0.111413043478261</v>
      </c>
      <c r="G178" s="18" t="n">
        <f aca="false">G172/G162</f>
        <v>0.145235892691952</v>
      </c>
      <c r="H178" s="17"/>
      <c r="I178" s="17"/>
      <c r="J178" s="18" t="n">
        <f aca="false">J172/J162</f>
        <v>0.178438661710037</v>
      </c>
      <c r="K178" s="18" t="n">
        <f aca="false">K172/K162</f>
        <v>0.184492713775089</v>
      </c>
    </row>
    <row r="179" customFormat="false" ht="15" hidden="false" customHeight="false" outlineLevel="0" collapsed="false">
      <c r="A179" s="9" t="s">
        <v>124</v>
      </c>
      <c r="B179" s="17"/>
      <c r="C179" s="17"/>
      <c r="D179" s="17"/>
      <c r="E179" s="17"/>
      <c r="F179" s="18" t="n">
        <f aca="false">F173/F163</f>
        <v>-0.0789189189189189</v>
      </c>
      <c r="G179" s="18" t="n">
        <f aca="false">G173/G163</f>
        <v>-0.0734966592427617</v>
      </c>
      <c r="H179" s="17"/>
      <c r="I179" s="17"/>
      <c r="J179" s="18" t="n">
        <f aca="false">J173/J163</f>
        <v>-0.266759776536313</v>
      </c>
      <c r="K179" s="18" t="n">
        <f aca="false">K173/K163</f>
        <v>-0.13573543928924</v>
      </c>
    </row>
    <row r="180" customFormat="false" ht="15" hidden="false" customHeight="false" outlineLevel="0" collapsed="false">
      <c r="A180" s="9" t="s">
        <v>129</v>
      </c>
      <c r="B180" s="17"/>
      <c r="C180" s="17"/>
      <c r="D180" s="17"/>
      <c r="E180" s="17"/>
      <c r="F180" s="18" t="n">
        <f aca="false">F175/F165</f>
        <v>0.0568974103585657</v>
      </c>
      <c r="G180" s="18" t="n">
        <f aca="false">G175/G165</f>
        <v>0.084513225771046</v>
      </c>
      <c r="H180" s="17"/>
      <c r="I180" s="17"/>
      <c r="J180" s="18" t="n">
        <f aca="false">J175/J165</f>
        <v>0.095941749651997</v>
      </c>
      <c r="K180" s="18" t="n">
        <f aca="false">K175/K165</f>
        <v>0.11257204610951</v>
      </c>
    </row>
    <row r="181" customFormat="false" ht="15" hidden="false" customHeight="false" outlineLevel="0" collapsed="false">
      <c r="A181" s="20" t="s">
        <v>130</v>
      </c>
      <c r="B181" s="20"/>
      <c r="C181" s="20"/>
      <c r="D181" s="20"/>
      <c r="E181" s="20"/>
      <c r="F181" s="20"/>
      <c r="G181" s="20"/>
      <c r="H181" s="20"/>
      <c r="I181" s="20"/>
      <c r="J181" s="20"/>
      <c r="K181" s="20"/>
    </row>
    <row r="182" customFormat="false" ht="15" hidden="false" customHeight="false" outlineLevel="0" collapsed="false">
      <c r="A182" s="9" t="s">
        <v>131</v>
      </c>
      <c r="B182" s="17"/>
      <c r="C182" s="17"/>
      <c r="D182" s="17"/>
      <c r="E182" s="17"/>
      <c r="F182" s="10" t="n">
        <v>1491</v>
      </c>
      <c r="G182" s="10" t="n">
        <v>1504</v>
      </c>
      <c r="H182" s="17"/>
      <c r="I182" s="17"/>
      <c r="J182" s="10" t="n">
        <v>1885</v>
      </c>
      <c r="K182" s="10" t="n">
        <v>1965</v>
      </c>
    </row>
    <row r="183" customFormat="false" ht="15" hidden="false" customHeight="false" outlineLevel="0" collapsed="false">
      <c r="A183" s="9" t="s">
        <v>132</v>
      </c>
      <c r="B183" s="17"/>
      <c r="C183" s="17"/>
      <c r="D183" s="17"/>
      <c r="E183" s="17"/>
      <c r="F183" s="10" t="n">
        <v>2958</v>
      </c>
      <c r="G183" s="10" t="n">
        <v>3280</v>
      </c>
      <c r="H183" s="17"/>
      <c r="I183" s="17"/>
      <c r="J183" s="10" t="n">
        <v>3086</v>
      </c>
      <c r="K183" s="10" t="n">
        <v>3512</v>
      </c>
    </row>
    <row r="184" customFormat="false" ht="15" hidden="false" customHeight="false" outlineLevel="0" collapsed="false">
      <c r="A184" s="23" t="s">
        <v>133</v>
      </c>
      <c r="B184" s="17"/>
      <c r="C184" s="17"/>
      <c r="D184" s="17"/>
      <c r="E184" s="17"/>
      <c r="F184" s="10" t="n">
        <v>3605</v>
      </c>
      <c r="G184" s="10" t="n">
        <v>3911</v>
      </c>
      <c r="H184" s="17"/>
      <c r="I184" s="17"/>
      <c r="J184" s="10" t="n">
        <v>4066</v>
      </c>
      <c r="K184" s="10" t="n">
        <v>4427</v>
      </c>
    </row>
    <row r="185" customFormat="false" ht="15" hidden="false" customHeight="false" outlineLevel="0" collapsed="false">
      <c r="A185" s="23" t="s">
        <v>134</v>
      </c>
      <c r="B185" s="17"/>
      <c r="C185" s="17"/>
      <c r="D185" s="17"/>
      <c r="E185" s="17"/>
      <c r="F185" s="10" t="n">
        <v>661</v>
      </c>
      <c r="G185" s="10" t="n">
        <v>649</v>
      </c>
      <c r="H185" s="17"/>
      <c r="I185" s="17"/>
      <c r="J185" s="10" t="n">
        <v>757</v>
      </c>
      <c r="K185" s="10" t="n">
        <v>817</v>
      </c>
    </row>
    <row r="186" customFormat="false" ht="15" hidden="false" customHeight="false" outlineLevel="0" collapsed="false">
      <c r="A186" s="23" t="s">
        <v>135</v>
      </c>
      <c r="B186" s="17"/>
      <c r="C186" s="17"/>
      <c r="D186" s="17"/>
      <c r="E186" s="17"/>
      <c r="F186" s="10" t="n">
        <v>183</v>
      </c>
      <c r="G186" s="10" t="n">
        <v>225</v>
      </c>
      <c r="H186" s="17"/>
      <c r="I186" s="17"/>
      <c r="J186" s="10" t="n">
        <v>148</v>
      </c>
      <c r="K186" s="10" t="n">
        <v>233</v>
      </c>
    </row>
    <row r="187" customFormat="false" ht="15" hidden="false" customHeight="false" outlineLevel="0" collapsed="false">
      <c r="A187" s="9" t="s">
        <v>137</v>
      </c>
      <c r="B187" s="17"/>
      <c r="C187" s="17"/>
      <c r="D187" s="17"/>
      <c r="E187" s="17"/>
      <c r="F187" s="18" t="n">
        <f aca="false">F183/(F182+F183)</f>
        <v>0.664868509777478</v>
      </c>
      <c r="G187" s="18" t="n">
        <f aca="false">G183/(G182+G183)</f>
        <v>0.68561872909699</v>
      </c>
      <c r="H187" s="17"/>
      <c r="I187" s="17"/>
      <c r="J187" s="18" t="n">
        <f aca="false">J183/(J182+J183)</f>
        <v>0.620800643733655</v>
      </c>
      <c r="K187" s="18" t="n">
        <f aca="false">K183/(K182+K183)</f>
        <v>0.641226949059704</v>
      </c>
    </row>
    <row r="188" customFormat="false" ht="15" hidden="false" customHeight="false" outlineLevel="0" collapsed="false">
      <c r="A188" s="9" t="s">
        <v>60</v>
      </c>
      <c r="B188" s="17"/>
      <c r="C188" s="17"/>
      <c r="D188" s="17"/>
      <c r="E188" s="17"/>
      <c r="F188" s="17"/>
      <c r="G188" s="17"/>
      <c r="H188" s="17"/>
      <c r="I188" s="17"/>
      <c r="J188" s="18" t="n">
        <f aca="false">J182/F182-1</f>
        <v>0.264252179745138</v>
      </c>
      <c r="K188" s="18" t="n">
        <f aca="false">K182/G182-1</f>
        <v>0.306515957446809</v>
      </c>
    </row>
    <row r="189" customFormat="false" ht="15" hidden="false" customHeight="false" outlineLevel="0" collapsed="false">
      <c r="A189" s="9" t="s">
        <v>61</v>
      </c>
      <c r="B189" s="17"/>
      <c r="C189" s="17"/>
      <c r="D189" s="17"/>
      <c r="E189" s="17"/>
      <c r="F189" s="17"/>
      <c r="G189" s="17"/>
      <c r="H189" s="17"/>
      <c r="I189" s="17"/>
      <c r="J189" s="18" t="n">
        <f aca="false">J183/F183-1</f>
        <v>0.0432724814063556</v>
      </c>
      <c r="K189" s="18" t="n">
        <f aca="false">K183/G183-1</f>
        <v>0.0707317073170732</v>
      </c>
    </row>
    <row r="190" customFormat="false" ht="15" hidden="false" customHeight="false" outlineLevel="0" collapsed="false">
      <c r="A190" s="20" t="s">
        <v>138</v>
      </c>
      <c r="B190" s="20"/>
      <c r="C190" s="20"/>
      <c r="D190" s="20"/>
      <c r="E190" s="20"/>
      <c r="F190" s="20"/>
      <c r="G190" s="20"/>
      <c r="H190" s="20"/>
      <c r="I190" s="20"/>
      <c r="J190" s="20"/>
      <c r="K190" s="20"/>
    </row>
    <row r="191" customFormat="false" ht="15" hidden="false" customHeight="false" outlineLevel="0" collapsed="false">
      <c r="A191" s="9" t="s">
        <v>131</v>
      </c>
      <c r="B191" s="17"/>
      <c r="C191" s="17"/>
      <c r="D191" s="17"/>
      <c r="E191" s="17"/>
      <c r="F191" s="10" t="n">
        <v>1391</v>
      </c>
      <c r="G191" s="10" t="n">
        <v>1673</v>
      </c>
      <c r="H191" s="17"/>
      <c r="I191" s="17"/>
      <c r="J191" s="10" t="n">
        <v>2501</v>
      </c>
      <c r="K191" s="10" t="n">
        <v>3130</v>
      </c>
    </row>
    <row r="192" customFormat="false" ht="15" hidden="false" customHeight="false" outlineLevel="0" collapsed="false">
      <c r="A192" s="9" t="s">
        <v>132</v>
      </c>
      <c r="B192" s="17"/>
      <c r="C192" s="17"/>
      <c r="D192" s="17"/>
      <c r="E192" s="17"/>
      <c r="F192" s="10" t="n">
        <v>448</v>
      </c>
      <c r="G192" s="10" t="n">
        <v>488</v>
      </c>
      <c r="H192" s="17"/>
      <c r="I192" s="17"/>
      <c r="J192" s="10" t="n">
        <v>459</v>
      </c>
      <c r="K192" s="10" t="n">
        <v>507</v>
      </c>
    </row>
    <row r="193" customFormat="false" ht="15" hidden="false" customHeight="false" outlineLevel="0" collapsed="false">
      <c r="A193" s="23" t="s">
        <v>148</v>
      </c>
      <c r="B193" s="17"/>
      <c r="C193" s="17"/>
      <c r="D193" s="17"/>
      <c r="E193" s="17"/>
      <c r="F193" s="10" t="n">
        <v>692</v>
      </c>
      <c r="G193" s="10" t="n">
        <v>759</v>
      </c>
      <c r="H193" s="17"/>
      <c r="I193" s="17"/>
      <c r="J193" s="10" t="n">
        <v>1380</v>
      </c>
      <c r="K193" s="10" t="n">
        <v>1877</v>
      </c>
    </row>
    <row r="194" customFormat="false" ht="15" hidden="false" customHeight="false" outlineLevel="0" collapsed="false">
      <c r="A194" s="23" t="s">
        <v>149</v>
      </c>
      <c r="B194" s="17"/>
      <c r="C194" s="17"/>
      <c r="D194" s="17"/>
      <c r="E194" s="17"/>
      <c r="F194" s="10" t="n">
        <v>390</v>
      </c>
      <c r="G194" s="10" t="n">
        <v>579</v>
      </c>
      <c r="H194" s="17"/>
      <c r="I194" s="17"/>
      <c r="J194" s="10" t="n">
        <v>691</v>
      </c>
      <c r="K194" s="10" t="n">
        <v>806</v>
      </c>
    </row>
    <row r="195" customFormat="false" ht="15" hidden="false" customHeight="false" outlineLevel="0" collapsed="false">
      <c r="A195" s="23" t="s">
        <v>140</v>
      </c>
      <c r="B195" s="17"/>
      <c r="C195" s="17"/>
      <c r="D195" s="17"/>
      <c r="E195" s="17"/>
      <c r="F195" s="10" t="n">
        <v>381</v>
      </c>
      <c r="G195" s="10" t="n">
        <v>411</v>
      </c>
      <c r="H195" s="17"/>
      <c r="I195" s="17"/>
      <c r="J195" s="10" t="n">
        <v>477</v>
      </c>
      <c r="K195" s="10" t="n">
        <v>539</v>
      </c>
    </row>
    <row r="196" customFormat="false" ht="15" hidden="false" customHeight="false" outlineLevel="0" collapsed="false">
      <c r="A196" s="23" t="s">
        <v>150</v>
      </c>
      <c r="B196" s="17"/>
      <c r="C196" s="17"/>
      <c r="D196" s="17"/>
      <c r="E196" s="17"/>
      <c r="F196" s="10" t="n">
        <v>378</v>
      </c>
      <c r="G196" s="10" t="n">
        <v>412</v>
      </c>
      <c r="H196" s="17"/>
      <c r="I196" s="17"/>
      <c r="J196" s="10" t="n">
        <v>411</v>
      </c>
      <c r="K196" s="10" t="n">
        <v>416</v>
      </c>
    </row>
    <row r="197" customFormat="false" ht="15" hidden="false" customHeight="false" outlineLevel="0" collapsed="false">
      <c r="A197" s="9" t="s">
        <v>137</v>
      </c>
      <c r="B197" s="17"/>
      <c r="C197" s="17"/>
      <c r="D197" s="17"/>
      <c r="E197" s="17"/>
      <c r="F197" s="18" t="n">
        <f aca="false">F192/(F191+F192)</f>
        <v>0.243610657966286</v>
      </c>
      <c r="G197" s="18" t="n">
        <f aca="false">G192/(G191+G192)</f>
        <v>0.225821378991208</v>
      </c>
      <c r="H197" s="17"/>
      <c r="I197" s="17"/>
      <c r="J197" s="18" t="n">
        <f aca="false">J192/(J191+J192)</f>
        <v>0.155067567567568</v>
      </c>
      <c r="K197" s="18" t="n">
        <f aca="false">K192/(K191+K192)</f>
        <v>0.139400604894144</v>
      </c>
    </row>
    <row r="198" customFormat="false" ht="15" hidden="false" customHeight="false" outlineLevel="0" collapsed="false">
      <c r="A198" s="9" t="s">
        <v>60</v>
      </c>
      <c r="B198" s="17"/>
      <c r="C198" s="17"/>
      <c r="D198" s="17"/>
      <c r="E198" s="17"/>
      <c r="F198" s="17"/>
      <c r="G198" s="17"/>
      <c r="H198" s="17"/>
      <c r="I198" s="17"/>
      <c r="J198" s="18" t="n">
        <f aca="false">J191/F191-1</f>
        <v>0.797987059669303</v>
      </c>
      <c r="K198" s="18" t="n">
        <f aca="false">K191/G191-1</f>
        <v>0.87089061566049</v>
      </c>
    </row>
    <row r="199" customFormat="false" ht="15" hidden="false" customHeight="false" outlineLevel="0" collapsed="false">
      <c r="A199" s="9" t="s">
        <v>61</v>
      </c>
      <c r="B199" s="17"/>
      <c r="C199" s="17"/>
      <c r="D199" s="17"/>
      <c r="E199" s="17"/>
      <c r="F199" s="17"/>
      <c r="G199" s="17"/>
      <c r="H199" s="17"/>
      <c r="I199" s="17"/>
      <c r="J199" s="18" t="n">
        <f aca="false">J192/F192-1</f>
        <v>0.0245535714285714</v>
      </c>
      <c r="K199" s="18" t="n">
        <f aca="false">K192/G192-1</f>
        <v>0.0389344262295082</v>
      </c>
    </row>
    <row r="200" customFormat="false" ht="15" hidden="false" customHeight="false" outlineLevel="0" collapsed="false">
      <c r="A200" s="20" t="s">
        <v>142</v>
      </c>
      <c r="B200" s="20"/>
      <c r="C200" s="20"/>
      <c r="D200" s="20"/>
      <c r="E200" s="20"/>
      <c r="F200" s="20"/>
      <c r="G200" s="20"/>
      <c r="H200" s="20"/>
      <c r="I200" s="20"/>
      <c r="J200" s="20"/>
      <c r="K200" s="20"/>
    </row>
    <row r="201" customFormat="false" ht="15" hidden="false" customHeight="false" outlineLevel="0" collapsed="false">
      <c r="A201" s="9" t="s">
        <v>131</v>
      </c>
      <c r="B201" s="17"/>
      <c r="C201" s="17"/>
      <c r="D201" s="17"/>
      <c r="E201" s="17"/>
      <c r="F201" s="10" t="n">
        <v>1412</v>
      </c>
      <c r="G201" s="10" t="n">
        <v>1797</v>
      </c>
      <c r="H201" s="17"/>
      <c r="I201" s="17"/>
      <c r="J201" s="10" t="n">
        <v>889</v>
      </c>
      <c r="K201" s="10" t="n">
        <v>1395</v>
      </c>
    </row>
    <row r="202" customFormat="false" ht="15" hidden="false" customHeight="false" outlineLevel="0" collapsed="false">
      <c r="A202" s="9" t="s">
        <v>132</v>
      </c>
      <c r="B202" s="17"/>
      <c r="C202" s="17"/>
      <c r="D202" s="17"/>
      <c r="E202" s="17"/>
      <c r="F202" s="10" t="n">
        <v>438</v>
      </c>
      <c r="G202" s="10" t="n">
        <v>448</v>
      </c>
      <c r="H202" s="17"/>
      <c r="I202" s="17"/>
      <c r="J202" s="10" t="n">
        <v>543</v>
      </c>
      <c r="K202" s="10" t="n">
        <v>632</v>
      </c>
    </row>
    <row r="203" customFormat="false" ht="15" hidden="false" customHeight="false" outlineLevel="0" collapsed="false">
      <c r="A203" s="23" t="s">
        <v>143</v>
      </c>
      <c r="B203" s="17"/>
      <c r="C203" s="17"/>
      <c r="D203" s="17"/>
      <c r="E203" s="17"/>
      <c r="F203" s="10" t="n">
        <v>1646</v>
      </c>
      <c r="G203" s="10" t="n">
        <v>2020</v>
      </c>
      <c r="H203" s="17"/>
      <c r="I203" s="17"/>
      <c r="J203" s="10" t="n">
        <v>1186</v>
      </c>
      <c r="K203" s="10" t="n">
        <v>1721</v>
      </c>
    </row>
    <row r="204" customFormat="false" ht="15" hidden="false" customHeight="false" outlineLevel="0" collapsed="false">
      <c r="A204" s="23" t="s">
        <v>144</v>
      </c>
      <c r="B204" s="17"/>
      <c r="C204" s="17"/>
      <c r="D204" s="17"/>
      <c r="E204" s="17"/>
      <c r="F204" s="10" t="n">
        <v>204</v>
      </c>
      <c r="G204" s="10" t="n">
        <v>225</v>
      </c>
      <c r="H204" s="17"/>
      <c r="I204" s="17"/>
      <c r="J204" s="10" t="n">
        <v>246</v>
      </c>
      <c r="K204" s="10" t="n">
        <v>305</v>
      </c>
    </row>
    <row r="205" customFormat="false" ht="15" hidden="false" customHeight="false" outlineLevel="0" collapsed="false">
      <c r="A205" s="9" t="s">
        <v>137</v>
      </c>
      <c r="B205" s="17"/>
      <c r="C205" s="17"/>
      <c r="D205" s="17"/>
      <c r="E205" s="17"/>
      <c r="F205" s="18" t="n">
        <f aca="false">F202/(F201+F202)</f>
        <v>0.236756756756757</v>
      </c>
      <c r="G205" s="18" t="n">
        <f aca="false">G202/(G201+G202)</f>
        <v>0.199554565701559</v>
      </c>
      <c r="H205" s="17"/>
      <c r="I205" s="17"/>
      <c r="J205" s="18" t="n">
        <f aca="false">J202/(J201+J202)</f>
        <v>0.379189944134078</v>
      </c>
      <c r="K205" s="18" t="n">
        <f aca="false">K202/(K201+K202)</f>
        <v>0.311790823877652</v>
      </c>
    </row>
    <row r="206" customFormat="false" ht="15" hidden="false" customHeight="false" outlineLevel="0" collapsed="false">
      <c r="A206" s="9" t="s">
        <v>60</v>
      </c>
      <c r="B206" s="17"/>
      <c r="C206" s="17"/>
      <c r="D206" s="17"/>
      <c r="E206" s="17"/>
      <c r="F206" s="17"/>
      <c r="G206" s="17"/>
      <c r="H206" s="17"/>
      <c r="I206" s="17"/>
      <c r="J206" s="18" t="n">
        <f aca="false">J201/F201-1</f>
        <v>-0.370396600566572</v>
      </c>
      <c r="K206" s="18" t="n">
        <f aca="false">K201/G201-1</f>
        <v>-0.223706176961603</v>
      </c>
    </row>
    <row r="207" customFormat="false" ht="15" hidden="false" customHeight="false" outlineLevel="0" collapsed="false">
      <c r="A207" s="9" t="s">
        <v>61</v>
      </c>
      <c r="B207" s="17"/>
      <c r="C207" s="17"/>
      <c r="D207" s="17"/>
      <c r="E207" s="17"/>
      <c r="F207" s="17"/>
      <c r="G207" s="17"/>
      <c r="H207" s="17"/>
      <c r="I207" s="17"/>
      <c r="J207" s="18" t="n">
        <f aca="false">J202/F202-1</f>
        <v>0.23972602739726</v>
      </c>
      <c r="K207" s="18" t="n">
        <f aca="false">K202/G202-1</f>
        <v>0.410714285714286</v>
      </c>
    </row>
    <row r="209" customFormat="false" ht="15" hidden="false" customHeight="false" outlineLevel="0" collapsed="false">
      <c r="A209" s="8" t="s">
        <v>151</v>
      </c>
      <c r="B209" s="8"/>
      <c r="C209" s="8"/>
      <c r="D209" s="8"/>
      <c r="E209" s="8"/>
      <c r="F209" s="8"/>
      <c r="G209" s="8"/>
      <c r="H209" s="8"/>
      <c r="I209" s="8"/>
      <c r="J209" s="8"/>
      <c r="K209" s="8"/>
    </row>
    <row r="210" customFormat="false" ht="15" hidden="false" customHeight="false" outlineLevel="0" collapsed="false">
      <c r="A210" s="2" t="s">
        <v>152</v>
      </c>
    </row>
    <row r="211" customFormat="false" ht="15" hidden="false" customHeight="false" outlineLevel="0" collapsed="false">
      <c r="A211" s="20" t="s">
        <v>153</v>
      </c>
      <c r="B211" s="20"/>
      <c r="C211" s="20"/>
      <c r="D211" s="20"/>
      <c r="E211" s="20"/>
      <c r="F211" s="20"/>
      <c r="G211" s="20"/>
      <c r="H211" s="20"/>
      <c r="I211" s="20"/>
      <c r="J211" s="20"/>
      <c r="K211" s="20"/>
    </row>
    <row r="212" customFormat="false" ht="15" hidden="false" customHeight="false" outlineLevel="0" collapsed="false">
      <c r="A212" s="9" t="s">
        <v>154</v>
      </c>
      <c r="B212" s="10" t="n">
        <v>42210</v>
      </c>
      <c r="C212" s="10" t="n">
        <v>41561</v>
      </c>
      <c r="D212" s="10" t="n">
        <v>42069</v>
      </c>
      <c r="E212" s="10" t="n">
        <v>43047</v>
      </c>
      <c r="F212" s="10" t="n">
        <v>45478</v>
      </c>
      <c r="G212" s="10" t="n">
        <v>49712</v>
      </c>
      <c r="H212" s="10" t="n">
        <v>54092</v>
      </c>
      <c r="I212" s="10" t="n">
        <v>64245</v>
      </c>
      <c r="J212" s="10" t="n">
        <v>75924</v>
      </c>
      <c r="K212" s="10" t="n">
        <v>87821</v>
      </c>
    </row>
    <row r="213" customFormat="false" ht="15" hidden="false" customHeight="false" outlineLevel="0" collapsed="false">
      <c r="A213" s="9" t="s">
        <v>155</v>
      </c>
      <c r="B213" s="10" t="n">
        <v>74083</v>
      </c>
      <c r="C213" s="10" t="n">
        <v>73915</v>
      </c>
      <c r="D213" s="10" t="n">
        <v>75678</v>
      </c>
      <c r="E213" s="10" t="n">
        <v>75976</v>
      </c>
      <c r="F213" s="10" t="n">
        <v>77959</v>
      </c>
      <c r="G213" s="10" t="n">
        <v>78938</v>
      </c>
      <c r="H213" s="10" t="n">
        <v>81177</v>
      </c>
      <c r="I213" s="10" t="n">
        <v>85993</v>
      </c>
      <c r="J213" s="10" t="n">
        <v>87352</v>
      </c>
      <c r="K213" s="10" t="n">
        <v>88463</v>
      </c>
    </row>
    <row r="214" customFormat="false" ht="15" hidden="false" customHeight="false" outlineLevel="0" collapsed="false">
      <c r="A214" s="12" t="s">
        <v>156</v>
      </c>
      <c r="B214" s="13" t="n">
        <v>116293</v>
      </c>
      <c r="C214" s="13" t="n">
        <v>115476</v>
      </c>
      <c r="D214" s="13" t="n">
        <v>117746</v>
      </c>
      <c r="E214" s="13" t="n">
        <v>119023</v>
      </c>
      <c r="F214" s="13" t="n">
        <v>123438</v>
      </c>
      <c r="G214" s="13" t="n">
        <v>128650</v>
      </c>
      <c r="H214" s="13" t="n">
        <v>135269</v>
      </c>
      <c r="I214" s="13" t="n">
        <v>150238</v>
      </c>
      <c r="J214" s="13" t="n">
        <v>163276</v>
      </c>
      <c r="K214" s="13" t="n">
        <v>176284</v>
      </c>
    </row>
    <row r="215" customFormat="false" ht="15" hidden="false" customHeight="false" outlineLevel="0" collapsed="false">
      <c r="A215" s="9" t="s">
        <v>157</v>
      </c>
      <c r="B215" s="17"/>
      <c r="C215" s="17"/>
      <c r="D215" s="17"/>
      <c r="E215" s="17"/>
      <c r="F215" s="18" t="n">
        <f aca="false">IF(AND(ISNUMBER(F214),ISNUMBER(B214),B214&lt;&gt;0),F214/B214-1,"")</f>
        <v>0.0614396395311843</v>
      </c>
      <c r="G215" s="18" t="n">
        <f aca="false">IF(AND(ISNUMBER(G214),ISNUMBER(C214),C214&lt;&gt;0),G214/C214-1,"")</f>
        <v>0.114084311891649</v>
      </c>
      <c r="H215" s="18" t="n">
        <f aca="false">IF(AND(ISNUMBER(H214),ISNUMBER(D214),D214&lt;&gt;0),H214/D214-1,"")</f>
        <v>0.1488203420923</v>
      </c>
      <c r="I215" s="18" t="n">
        <f aca="false">IF(AND(ISNUMBER(I214),ISNUMBER(E214),E214&lt;&gt;0),I214/E214-1,"")</f>
        <v>0.262260235416684</v>
      </c>
      <c r="J215" s="18" t="n">
        <f aca="false">IF(AND(ISNUMBER(J214),ISNUMBER(F214),F214&lt;&gt;0),J214/F214-1,"")</f>
        <v>0.322736920559309</v>
      </c>
      <c r="K215" s="18" t="n">
        <f aca="false">IF(AND(ISNUMBER(K214),ISNUMBER(G214),G214&lt;&gt;0),K214/G214-1,"")</f>
        <v>0.370260396424407</v>
      </c>
    </row>
    <row r="216" customFormat="false" ht="15" hidden="false" customHeight="false" outlineLevel="0" collapsed="false">
      <c r="A216" s="9" t="s">
        <v>158</v>
      </c>
      <c r="B216" s="17"/>
      <c r="C216" s="17"/>
      <c r="D216" s="17"/>
      <c r="E216" s="17"/>
      <c r="F216" s="18" t="n">
        <f aca="false">IF(AND(ISNUMBER(F212),ISNUMBER(B212),B212&lt;&gt;0),F212/B212-1,"")</f>
        <v>0.07742241175077</v>
      </c>
      <c r="G216" s="18" t="n">
        <f aca="false">IF(AND(ISNUMBER(G212),ISNUMBER(C212),C212&lt;&gt;0),G212/C212-1,"")</f>
        <v>0.196121363778542</v>
      </c>
      <c r="H216" s="18" t="n">
        <f aca="false">IF(AND(ISNUMBER(H212),ISNUMBER(D212),D212&lt;&gt;0),H212/D212-1,"")</f>
        <v>0.285792388694763</v>
      </c>
      <c r="I216" s="18" t="n">
        <f aca="false">IF(AND(ISNUMBER(I212),ISNUMBER(E212),E212&lt;&gt;0),I212/E212-1,"")</f>
        <v>0.492438497456269</v>
      </c>
      <c r="J216" s="18" t="n">
        <f aca="false">IF(AND(ISNUMBER(J212),ISNUMBER(F212),F212&lt;&gt;0),J212/F212-1,"")</f>
        <v>0.669466555257487</v>
      </c>
      <c r="K216" s="18" t="n">
        <f aca="false">IF(AND(ISNUMBER(K212),ISNUMBER(G212),G212&lt;&gt;0),K212/G212-1,"")</f>
        <v>0.766595590601867</v>
      </c>
    </row>
    <row r="217" customFormat="false" ht="15" hidden="false" customHeight="false" outlineLevel="0" collapsed="false">
      <c r="A217" s="9" t="s">
        <v>159</v>
      </c>
      <c r="B217" s="24" t="n">
        <f aca="false">IF(ISNUMBER(B10),B212/(B10*4),"")</f>
        <v>2.91747304395908</v>
      </c>
      <c r="C217" s="24" t="n">
        <f aca="false">IF(ISNUMBER(C10),C212/(C10*4),"")</f>
        <v>2.47740820219361</v>
      </c>
      <c r="D217" s="24" t="n">
        <f aca="false">IF(ISNUMBER(D10),D212/(D10*4),"")</f>
        <v>1.98813799621928</v>
      </c>
      <c r="E217" s="24" t="n">
        <f aca="false">IF(ISNUMBER(E10),E212/(E10*4),"")</f>
        <v>1.83930097419245</v>
      </c>
      <c r="F217" s="24" t="n">
        <f aca="false">IF(ISNUMBER(F10),F212/(F10*4),"")</f>
        <v>2.70895878008101</v>
      </c>
      <c r="G217" s="24" t="n">
        <f aca="false">IF(ISNUMBER(G10),G212/(G10*4),"")</f>
        <v>2.53943604413568</v>
      </c>
      <c r="H217" s="24" t="n">
        <f aca="false">IF(ISNUMBER(H10),H212/(H10*4),"")</f>
        <v>2.29982993197279</v>
      </c>
      <c r="I217" s="24" t="n">
        <f aca="false">IF(ISNUMBER(I10),I212/(I10*4),"")</f>
        <v>2.69348482307563</v>
      </c>
      <c r="J217" s="24" t="n">
        <f aca="false">IF(ISNUMBER(J10),J212/(J10*4),"")</f>
        <v>3.61267605633803</v>
      </c>
      <c r="K217" s="24" t="n">
        <f aca="false">IF(ISNUMBER(K10),K212/(K10*4),"")</f>
        <v>3.39917169840533</v>
      </c>
    </row>
    <row r="218" customFormat="false" ht="15" hidden="false" customHeight="false" outlineLevel="0" collapsed="false">
      <c r="A218" s="9" t="s">
        <v>160</v>
      </c>
      <c r="B218" s="17"/>
      <c r="C218" s="11" t="n">
        <f aca="false">IF(AND(ISNUMBER(C212),ISNUMBER(B212),ISNUMBER(C10)),C212-B212+C10,"")</f>
        <v>3545</v>
      </c>
      <c r="D218" s="11" t="n">
        <f aca="false">IF(AND(ISNUMBER(D212),ISNUMBER(C212),ISNUMBER(D10)),D212-C212+D10,"")</f>
        <v>5798</v>
      </c>
      <c r="E218" s="11" t="n">
        <f aca="false">IF(AND(ISNUMBER(E212),ISNUMBER(D212),ISNUMBER(E10)),E212-D212+E10,"")</f>
        <v>6829</v>
      </c>
      <c r="F218" s="11" t="n">
        <f aca="false">IF(AND(ISNUMBER(F212),ISNUMBER(E212),ISNUMBER(F10)),F212-E212+F10,"")</f>
        <v>6628</v>
      </c>
      <c r="G218" s="11" t="n">
        <f aca="false">IF(AND(ISNUMBER(G212),ISNUMBER(F212),ISNUMBER(G10)),G212-F212+G10,"")</f>
        <v>9128</v>
      </c>
      <c r="H218" s="11" t="n">
        <f aca="false">IF(AND(ISNUMBER(H212),ISNUMBER(G212),ISNUMBER(H10)),H212-G212+H10,"")</f>
        <v>10260</v>
      </c>
      <c r="I218" s="11" t="n">
        <f aca="false">IF(AND(ISNUMBER(I212),ISNUMBER(H212),ISNUMBER(I10)),I212-H212+I10,"")</f>
        <v>16116</v>
      </c>
      <c r="J218" s="11" t="n">
        <f aca="false">IF(AND(ISNUMBER(J212),ISNUMBER(I212),ISNUMBER(J10)),J212-I212+J10,"")</f>
        <v>16933</v>
      </c>
      <c r="K218" s="11" t="n">
        <f aca="false">IF(AND(ISNUMBER(K212),ISNUMBER(J212),ISNUMBER(K10)),K212-J212+K10,"")</f>
        <v>18356</v>
      </c>
    </row>
    <row r="219" customFormat="false" ht="15" hidden="false" customHeight="false" outlineLevel="0" collapsed="false">
      <c r="A219" s="9" t="s">
        <v>161</v>
      </c>
      <c r="B219" s="17"/>
      <c r="C219" s="11" t="n">
        <f aca="false">IF(AND(ISNUMBER(C213),ISNUMBER(B213),ISNUMBER(C11)),C213-B213+C11,"")</f>
        <v>3842</v>
      </c>
      <c r="D219" s="11" t="n">
        <f aca="false">IF(AND(ISNUMBER(D213),ISNUMBER(C213),ISNUMBER(D11)),D213-C213+D11,"")</f>
        <v>5386</v>
      </c>
      <c r="E219" s="11" t="n">
        <f aca="false">IF(AND(ISNUMBER(E213),ISNUMBER(D213),ISNUMBER(E11)),E213-D213+E11,"")</f>
        <v>5006</v>
      </c>
      <c r="F219" s="11" t="n">
        <f aca="false">IF(AND(ISNUMBER(F213),ISNUMBER(E213),ISNUMBER(F11)),F213-E213+F11,"")</f>
        <v>5818</v>
      </c>
      <c r="G219" s="11" t="n">
        <f aca="false">IF(AND(ISNUMBER(G213),ISNUMBER(F213),ISNUMBER(G11)),G213-F213+G11,"")</f>
        <v>5196</v>
      </c>
      <c r="H219" s="11" t="n">
        <f aca="false">IF(AND(ISNUMBER(H213),ISNUMBER(G213),ISNUMBER(H11)),H213-G213+H11,"")</f>
        <v>6328</v>
      </c>
      <c r="I219" s="11" t="n">
        <f aca="false">IF(AND(ISNUMBER(I213),ISNUMBER(H213),ISNUMBER(I11)),I213-H213+I11,"")</f>
        <v>9809</v>
      </c>
      <c r="J219" s="11" t="n">
        <f aca="false">IF(AND(ISNUMBER(J213),ISNUMBER(I213),ISNUMBER(J11)),J213-I213+J11,"")</f>
        <v>5443</v>
      </c>
      <c r="K219" s="11" t="n">
        <f aca="false">IF(AND(ISNUMBER(K213),ISNUMBER(J213),ISNUMBER(K11)),K213-J213+K11,"")</f>
        <v>5756</v>
      </c>
    </row>
    <row r="220" customFormat="false" ht="15" hidden="false" customHeight="false" outlineLevel="0" collapsed="false">
      <c r="A220" s="12" t="s">
        <v>162</v>
      </c>
      <c r="B220" s="22"/>
      <c r="C220" s="14" t="n">
        <f aca="false">IF(AND(ISNUMBER(C214),ISNUMBER(B214),ISNUMBER(C12)),C214-B214+C12,"")</f>
        <v>7387</v>
      </c>
      <c r="D220" s="14" t="n">
        <f aca="false">IF(AND(ISNUMBER(D214),ISNUMBER(C214),ISNUMBER(D12)),D214-C214+D12,"")</f>
        <v>11183</v>
      </c>
      <c r="E220" s="14" t="n">
        <f aca="false">IF(AND(ISNUMBER(E214),ISNUMBER(D214),ISNUMBER(E12)),E214-D214+E12,"")</f>
        <v>11835</v>
      </c>
      <c r="F220" s="14" t="n">
        <f aca="false">IF(AND(ISNUMBER(F214),ISNUMBER(E214),ISNUMBER(F12)),F214-E214+F12,"")</f>
        <v>12447</v>
      </c>
      <c r="G220" s="14" t="n">
        <f aca="false">IF(AND(ISNUMBER(G214),ISNUMBER(F214),ISNUMBER(G12)),G214-F214+G12,"")</f>
        <v>14323</v>
      </c>
      <c r="H220" s="14" t="n">
        <f aca="false">IF(AND(ISNUMBER(H214),ISNUMBER(G214),ISNUMBER(H12)),H214-G214+H12,"")</f>
        <v>16588</v>
      </c>
      <c r="I220" s="14" t="n">
        <f aca="false">IF(AND(ISNUMBER(I214),ISNUMBER(H214),ISNUMBER(I12)),I214-H214+I12,"")</f>
        <v>25925</v>
      </c>
      <c r="J220" s="14" t="n">
        <f aca="false">IF(AND(ISNUMBER(J214),ISNUMBER(I214),ISNUMBER(J12)),J214-I214+J12,"")</f>
        <v>22377</v>
      </c>
      <c r="K220" s="14" t="n">
        <f aca="false">IF(AND(ISNUMBER(K214),ISNUMBER(J214),ISNUMBER(K12)),K214-J214+K12,"")</f>
        <v>24112</v>
      </c>
    </row>
    <row r="221" customFormat="false" ht="15" hidden="false" customHeight="false" outlineLevel="0" collapsed="false">
      <c r="A221" s="9" t="s">
        <v>163</v>
      </c>
      <c r="B221" s="17"/>
      <c r="C221" s="24" t="n">
        <f aca="false">IF(ISNUMBER(C220),C220/C12,"")</f>
        <v>0.900414431984398</v>
      </c>
      <c r="D221" s="24" t="n">
        <f aca="false">IF(ISNUMBER(D220),D220/D12,"")</f>
        <v>1.25468416919107</v>
      </c>
      <c r="E221" s="24" t="n">
        <f aca="false">IF(ISNUMBER(E220),E220/E12,"")</f>
        <v>1.12095093767759</v>
      </c>
      <c r="F221" s="24" t="n">
        <f aca="false">IF(ISNUMBER(F220),F220/F12,"")</f>
        <v>1.54967629482072</v>
      </c>
      <c r="G221" s="24" t="n">
        <f aca="false">IF(ISNUMBER(G220),G220/G12,"")</f>
        <v>1.57205575677752</v>
      </c>
      <c r="H221" s="24" t="n">
        <f aca="false">IF(ISNUMBER(H220),H220/H12,"")</f>
        <v>1.66395827063898</v>
      </c>
      <c r="I221" s="24" t="n">
        <f aca="false">IF(ISNUMBER(I220),I220/I12,"")</f>
        <v>2.3662833150785</v>
      </c>
      <c r="J221" s="24" t="n">
        <f aca="false">IF(ISNUMBER(J220),J220/J12,"")</f>
        <v>2.39608095085127</v>
      </c>
      <c r="K221" s="24" t="n">
        <f aca="false">IF(ISNUMBER(K220),K220/K12,"")</f>
        <v>2.17146974063401</v>
      </c>
    </row>
    <row r="222" customFormat="false" ht="15" hidden="false" customHeight="false" outlineLevel="0" collapsed="false">
      <c r="A222" s="20" t="s">
        <v>164</v>
      </c>
      <c r="B222" s="20"/>
      <c r="C222" s="20"/>
      <c r="D222" s="20"/>
      <c r="E222" s="20"/>
      <c r="F222" s="20"/>
      <c r="G222" s="20"/>
      <c r="H222" s="20"/>
      <c r="I222" s="20"/>
      <c r="J222" s="20"/>
      <c r="K222" s="20"/>
    </row>
    <row r="223" customFormat="false" ht="15" hidden="false" customHeight="false" outlineLevel="0" collapsed="false">
      <c r="A223" s="9" t="s">
        <v>165</v>
      </c>
      <c r="B223" s="10" t="n">
        <v>14394</v>
      </c>
      <c r="C223" s="10" t="n">
        <v>10978</v>
      </c>
      <c r="D223" s="10" t="n">
        <v>11392</v>
      </c>
      <c r="E223" s="10" t="n">
        <v>12461</v>
      </c>
      <c r="F223" s="10" t="n">
        <v>13920</v>
      </c>
      <c r="G223" s="10" t="n">
        <v>16133</v>
      </c>
      <c r="H223" s="10" t="n">
        <v>18977</v>
      </c>
      <c r="I223" s="10" t="n">
        <v>24707</v>
      </c>
      <c r="J223" s="17"/>
      <c r="K223" s="17"/>
    </row>
    <row r="224" customFormat="false" ht="15" hidden="false" customHeight="false" outlineLevel="0" collapsed="false">
      <c r="A224" s="9" t="s">
        <v>166</v>
      </c>
      <c r="B224" s="10" t="n">
        <v>58389</v>
      </c>
      <c r="C224" s="10" t="n">
        <v>58479</v>
      </c>
      <c r="D224" s="10" t="n">
        <v>59911</v>
      </c>
      <c r="E224" s="10" t="n">
        <v>60890</v>
      </c>
      <c r="F224" s="10" t="n">
        <v>62372</v>
      </c>
      <c r="G224" s="10" t="n">
        <v>62932</v>
      </c>
      <c r="H224" s="10" t="n">
        <v>65083</v>
      </c>
      <c r="I224" s="10" t="n">
        <v>69680</v>
      </c>
      <c r="J224" s="17"/>
      <c r="K224" s="17"/>
    </row>
    <row r="225" customFormat="false" ht="15" hidden="false" customHeight="false" outlineLevel="0" collapsed="false">
      <c r="A225" s="12" t="s">
        <v>167</v>
      </c>
      <c r="B225" s="13" t="n">
        <v>72783</v>
      </c>
      <c r="C225" s="13" t="n">
        <v>69457</v>
      </c>
      <c r="D225" s="13" t="n">
        <v>71303</v>
      </c>
      <c r="E225" s="13" t="n">
        <v>73351</v>
      </c>
      <c r="F225" s="13" t="n">
        <v>76292</v>
      </c>
      <c r="G225" s="13" t="n">
        <v>79065</v>
      </c>
      <c r="H225" s="13" t="n">
        <v>84060</v>
      </c>
      <c r="I225" s="13" t="n">
        <v>94387</v>
      </c>
      <c r="J225" s="22"/>
      <c r="K225" s="22"/>
    </row>
    <row r="226" customFormat="false" ht="15" hidden="false" customHeight="false" outlineLevel="0" collapsed="false">
      <c r="A226" s="9" t="s">
        <v>168</v>
      </c>
      <c r="B226" s="17"/>
      <c r="C226" s="11" t="n">
        <f aca="false">C225-B225+C109</f>
        <v>1129</v>
      </c>
      <c r="D226" s="11" t="n">
        <f aca="false">D225-C225+D109</f>
        <v>6052</v>
      </c>
      <c r="E226" s="11" t="n">
        <f aca="false">E225-D225+E109</f>
        <v>7479</v>
      </c>
      <c r="F226" s="11" t="n">
        <f aca="false">F225-E225+F109</f>
        <v>7364</v>
      </c>
      <c r="G226" s="11" t="n">
        <f aca="false">G225-F225+G109</f>
        <v>7531</v>
      </c>
      <c r="H226" s="11" t="n">
        <f aca="false">H225-G225+H109</f>
        <v>9833</v>
      </c>
      <c r="I226" s="11" t="n">
        <f aca="false">I225-H225+I109</f>
        <v>16075</v>
      </c>
      <c r="J226" s="17"/>
      <c r="K226" s="17"/>
    </row>
    <row r="227" customFormat="false" ht="15" hidden="false" customHeight="false" outlineLevel="0" collapsed="false">
      <c r="A227" s="9" t="s">
        <v>169</v>
      </c>
      <c r="B227" s="10" t="n">
        <v>14849</v>
      </c>
      <c r="C227" s="10" t="n">
        <v>17540</v>
      </c>
      <c r="D227" s="10" t="n">
        <v>18624</v>
      </c>
      <c r="E227" s="10" t="n">
        <v>20005</v>
      </c>
      <c r="F227" s="10" t="n">
        <v>21996</v>
      </c>
      <c r="G227" s="10" t="n">
        <v>23950</v>
      </c>
      <c r="H227" s="10" t="n">
        <v>26455</v>
      </c>
      <c r="I227" s="10" t="n">
        <v>30508</v>
      </c>
      <c r="J227" s="17"/>
      <c r="K227" s="17"/>
    </row>
    <row r="228" customFormat="false" ht="15" hidden="false" customHeight="false" outlineLevel="0" collapsed="false">
      <c r="A228" s="9" t="s">
        <v>170</v>
      </c>
      <c r="B228" s="10" t="n">
        <v>3221</v>
      </c>
      <c r="C228" s="10" t="n">
        <v>3139</v>
      </c>
      <c r="D228" s="10" t="n">
        <v>3288</v>
      </c>
      <c r="E228" s="10" t="n">
        <v>3448</v>
      </c>
      <c r="F228" s="10" t="n">
        <v>3466</v>
      </c>
      <c r="G228" s="10" t="n">
        <v>3580</v>
      </c>
      <c r="H228" s="10" t="n">
        <v>3725</v>
      </c>
      <c r="I228" s="10" t="n">
        <v>4159</v>
      </c>
      <c r="J228" s="17"/>
      <c r="K228" s="17"/>
    </row>
    <row r="229" customFormat="false" ht="15" hidden="false" customHeight="false" outlineLevel="0" collapsed="false">
      <c r="A229" s="12" t="s">
        <v>171</v>
      </c>
      <c r="B229" s="13" t="n">
        <v>18069</v>
      </c>
      <c r="C229" s="13" t="n">
        <v>20679</v>
      </c>
      <c r="D229" s="13" t="n">
        <v>21912</v>
      </c>
      <c r="E229" s="13" t="n">
        <v>23453</v>
      </c>
      <c r="F229" s="13" t="n">
        <v>25462</v>
      </c>
      <c r="G229" s="13" t="n">
        <v>27530</v>
      </c>
      <c r="H229" s="13" t="n">
        <v>30179</v>
      </c>
      <c r="I229" s="13" t="n">
        <v>34667</v>
      </c>
      <c r="J229" s="22"/>
      <c r="K229" s="22"/>
    </row>
    <row r="230" customFormat="false" ht="15" hidden="false" customHeight="false" outlineLevel="0" collapsed="false">
      <c r="A230" s="9" t="s">
        <v>172</v>
      </c>
      <c r="B230" s="17"/>
      <c r="C230" s="11" t="n">
        <f aca="false">C229-B229+C110</f>
        <v>4400</v>
      </c>
      <c r="D230" s="11" t="n">
        <f aca="false">D229-C229+D110</f>
        <v>3161</v>
      </c>
      <c r="E230" s="11" t="n">
        <f aca="false">E229-D229+E110</f>
        <v>3722</v>
      </c>
      <c r="F230" s="11" t="n">
        <f aca="false">F229-E229+F110</f>
        <v>3888</v>
      </c>
      <c r="G230" s="11" t="n">
        <f aca="false">G229-F229+G110</f>
        <v>4269</v>
      </c>
      <c r="H230" s="11" t="n">
        <f aca="false">H229-G229+H110</f>
        <v>5250</v>
      </c>
      <c r="I230" s="11" t="n">
        <f aca="false">I229-H229+I110</f>
        <v>7449</v>
      </c>
      <c r="J230" s="17"/>
      <c r="K230" s="17"/>
    </row>
    <row r="231" customFormat="false" ht="15" hidden="false" customHeight="false" outlineLevel="0" collapsed="false">
      <c r="A231" s="9" t="s">
        <v>173</v>
      </c>
      <c r="B231" s="10" t="n">
        <v>13119</v>
      </c>
      <c r="C231" s="10" t="n">
        <v>13147</v>
      </c>
      <c r="D231" s="10" t="n">
        <v>12182</v>
      </c>
      <c r="E231" s="10" t="n">
        <v>10720</v>
      </c>
      <c r="F231" s="10" t="n">
        <v>9676</v>
      </c>
      <c r="G231" s="10" t="n">
        <v>9731</v>
      </c>
      <c r="H231" s="10" t="n">
        <v>8782</v>
      </c>
      <c r="I231" s="10" t="n">
        <v>9112</v>
      </c>
      <c r="J231" s="17"/>
      <c r="K231" s="17"/>
    </row>
    <row r="232" customFormat="false" ht="15" hidden="false" customHeight="false" outlineLevel="0" collapsed="false">
      <c r="A232" s="9" t="s">
        <v>174</v>
      </c>
      <c r="B232" s="10" t="n">
        <v>13045</v>
      </c>
      <c r="C232" s="10" t="n">
        <v>12626</v>
      </c>
      <c r="D232" s="10" t="n">
        <v>12788</v>
      </c>
      <c r="E232" s="10" t="n">
        <v>11962</v>
      </c>
      <c r="F232" s="10" t="n">
        <v>12484</v>
      </c>
      <c r="G232" s="10" t="n">
        <v>12777</v>
      </c>
      <c r="H232" s="10" t="n">
        <v>12726</v>
      </c>
      <c r="I232" s="10" t="n">
        <v>12518</v>
      </c>
      <c r="J232" s="17"/>
      <c r="K232" s="17"/>
    </row>
    <row r="233" customFormat="false" ht="15" hidden="false" customHeight="false" outlineLevel="0" collapsed="false">
      <c r="A233" s="12" t="s">
        <v>175</v>
      </c>
      <c r="B233" s="13" t="n">
        <v>26164</v>
      </c>
      <c r="C233" s="13" t="n">
        <v>25773</v>
      </c>
      <c r="D233" s="13" t="n">
        <v>24969</v>
      </c>
      <c r="E233" s="13" t="n">
        <v>22682</v>
      </c>
      <c r="F233" s="13" t="n">
        <v>22160</v>
      </c>
      <c r="G233" s="13" t="n">
        <v>22508</v>
      </c>
      <c r="H233" s="13" t="n">
        <v>21508</v>
      </c>
      <c r="I233" s="13" t="n">
        <v>21630</v>
      </c>
      <c r="J233" s="22"/>
      <c r="K233" s="22"/>
    </row>
    <row r="234" customFormat="false" ht="15" hidden="false" customHeight="false" outlineLevel="0" collapsed="false">
      <c r="A234" s="9" t="s">
        <v>176</v>
      </c>
      <c r="B234" s="17"/>
      <c r="C234" s="11" t="n">
        <f aca="false">C233-B233+C111</f>
        <v>1671</v>
      </c>
      <c r="D234" s="11" t="n">
        <f aca="false">D233-C233+D111</f>
        <v>2087</v>
      </c>
      <c r="E234" s="11" t="n">
        <f aca="false">E233-D233+E111</f>
        <v>822</v>
      </c>
      <c r="F234" s="11" t="n">
        <f aca="false">F233-E233+F111</f>
        <v>1328</v>
      </c>
      <c r="G234" s="11" t="n">
        <f aca="false">G233-F233+G111</f>
        <v>2593</v>
      </c>
      <c r="H234" s="11" t="n">
        <f aca="false">H233-G233+H111</f>
        <v>1647</v>
      </c>
      <c r="I234" s="11" t="n">
        <f aca="false">I233-H233+I111</f>
        <v>2490</v>
      </c>
      <c r="J234" s="17"/>
      <c r="K234" s="17"/>
    </row>
    <row r="235" customFormat="false" ht="15" hidden="false" customHeight="false" outlineLevel="0" collapsed="false">
      <c r="A235" s="20" t="s">
        <v>177</v>
      </c>
      <c r="B235" s="20"/>
      <c r="C235" s="20"/>
      <c r="D235" s="20"/>
      <c r="E235" s="20"/>
      <c r="F235" s="20"/>
      <c r="G235" s="20"/>
      <c r="H235" s="20"/>
      <c r="I235" s="20"/>
      <c r="J235" s="20"/>
      <c r="K235" s="20"/>
    </row>
    <row r="236" customFormat="false" ht="15" hidden="false" customHeight="false" outlineLevel="0" collapsed="false">
      <c r="A236" s="9" t="s">
        <v>165</v>
      </c>
      <c r="B236" s="17"/>
      <c r="C236" s="17"/>
      <c r="D236" s="17"/>
      <c r="E236" s="17"/>
      <c r="F236" s="10" t="n">
        <v>13920</v>
      </c>
      <c r="G236" s="10" t="n">
        <v>16133</v>
      </c>
      <c r="H236" s="17"/>
      <c r="I236" s="10" t="n">
        <v>24707</v>
      </c>
      <c r="J236" s="10" t="n">
        <v>28530</v>
      </c>
      <c r="K236" s="10" t="n">
        <v>39261</v>
      </c>
    </row>
    <row r="237" customFormat="false" ht="15" hidden="false" customHeight="false" outlineLevel="0" collapsed="false">
      <c r="A237" s="9" t="s">
        <v>166</v>
      </c>
      <c r="B237" s="17"/>
      <c r="C237" s="17"/>
      <c r="D237" s="17"/>
      <c r="E237" s="17"/>
      <c r="F237" s="10" t="n">
        <v>62533</v>
      </c>
      <c r="G237" s="10" t="n">
        <v>63088</v>
      </c>
      <c r="H237" s="17"/>
      <c r="I237" s="10" t="n">
        <v>69841</v>
      </c>
      <c r="J237" s="10" t="n">
        <v>71164</v>
      </c>
      <c r="K237" s="10" t="n">
        <v>72388</v>
      </c>
    </row>
    <row r="238" customFormat="false" ht="15" hidden="false" customHeight="false" outlineLevel="0" collapsed="false">
      <c r="A238" s="12" t="s">
        <v>167</v>
      </c>
      <c r="B238" s="22"/>
      <c r="C238" s="22"/>
      <c r="D238" s="22"/>
      <c r="E238" s="22"/>
      <c r="F238" s="13" t="n">
        <v>76453</v>
      </c>
      <c r="G238" s="13" t="n">
        <v>79221</v>
      </c>
      <c r="H238" s="22"/>
      <c r="I238" s="13" t="n">
        <v>94548</v>
      </c>
      <c r="J238" s="13" t="n">
        <v>99694</v>
      </c>
      <c r="K238" s="13" t="n">
        <v>111649</v>
      </c>
    </row>
    <row r="239" customFormat="false" ht="15" hidden="false" customHeight="false" outlineLevel="0" collapsed="false">
      <c r="A239" s="9" t="s">
        <v>168</v>
      </c>
      <c r="B239" s="17"/>
      <c r="C239" s="17"/>
      <c r="D239" s="17"/>
      <c r="E239" s="17"/>
      <c r="F239" s="17"/>
      <c r="G239" s="11" t="n">
        <f aca="false">G238-F238+G161</f>
        <v>7553</v>
      </c>
      <c r="H239" s="17"/>
      <c r="I239" s="17"/>
      <c r="J239" s="11" t="n">
        <f aca="false">J238-I238+J161</f>
        <v>10117</v>
      </c>
      <c r="K239" s="11" t="n">
        <f aca="false">K238-J238+K161</f>
        <v>17432</v>
      </c>
    </row>
    <row r="240" customFormat="false" ht="15" hidden="false" customHeight="false" outlineLevel="0" collapsed="false">
      <c r="A240" s="9" t="s">
        <v>169</v>
      </c>
      <c r="B240" s="17"/>
      <c r="C240" s="17"/>
      <c r="D240" s="17"/>
      <c r="E240" s="17"/>
      <c r="F240" s="10" t="n">
        <v>21996</v>
      </c>
      <c r="G240" s="10" t="n">
        <v>23950</v>
      </c>
      <c r="H240" s="17"/>
      <c r="I240" s="10" t="n">
        <v>30508</v>
      </c>
      <c r="J240" s="10" t="n">
        <v>38598</v>
      </c>
      <c r="K240" s="10" t="n">
        <v>40589</v>
      </c>
    </row>
    <row r="241" customFormat="false" ht="15" hidden="false" customHeight="false" outlineLevel="0" collapsed="false">
      <c r="A241" s="9" t="s">
        <v>170</v>
      </c>
      <c r="B241" s="17"/>
      <c r="C241" s="17"/>
      <c r="D241" s="17"/>
      <c r="E241" s="17"/>
      <c r="F241" s="10" t="n">
        <v>3038</v>
      </c>
      <c r="G241" s="10" t="n">
        <v>3168</v>
      </c>
      <c r="H241" s="17"/>
      <c r="I241" s="10" t="n">
        <v>3734</v>
      </c>
      <c r="J241" s="10" t="n">
        <v>3842</v>
      </c>
      <c r="K241" s="10" t="n">
        <v>3974</v>
      </c>
    </row>
    <row r="242" customFormat="false" ht="15" hidden="false" customHeight="false" outlineLevel="0" collapsed="false">
      <c r="A242" s="12" t="s">
        <v>171</v>
      </c>
      <c r="B242" s="22"/>
      <c r="C242" s="22"/>
      <c r="D242" s="22"/>
      <c r="E242" s="22"/>
      <c r="F242" s="13" t="n">
        <v>25034</v>
      </c>
      <c r="G242" s="13" t="n">
        <v>27118</v>
      </c>
      <c r="H242" s="22"/>
      <c r="I242" s="13" t="n">
        <v>34242</v>
      </c>
      <c r="J242" s="13" t="n">
        <v>42440</v>
      </c>
      <c r="K242" s="13" t="n">
        <v>44563</v>
      </c>
    </row>
    <row r="243" customFormat="false" ht="15" hidden="false" customHeight="false" outlineLevel="0" collapsed="false">
      <c r="A243" s="9" t="s">
        <v>172</v>
      </c>
      <c r="B243" s="17"/>
      <c r="C243" s="17"/>
      <c r="D243" s="17"/>
      <c r="E243" s="17"/>
      <c r="F243" s="17"/>
      <c r="G243" s="11" t="n">
        <f aca="false">G242-F242+G162</f>
        <v>4246</v>
      </c>
      <c r="H243" s="17"/>
      <c r="I243" s="17"/>
      <c r="J243" s="11" t="n">
        <f aca="false">J242-I242+J162</f>
        <v>11157</v>
      </c>
      <c r="K243" s="11" t="n">
        <f aca="false">K242-J242+K162</f>
        <v>5760</v>
      </c>
    </row>
    <row r="244" customFormat="false" ht="15" hidden="false" customHeight="false" outlineLevel="0" collapsed="false">
      <c r="A244" s="9" t="s">
        <v>173</v>
      </c>
      <c r="B244" s="17"/>
      <c r="C244" s="17"/>
      <c r="D244" s="17"/>
      <c r="E244" s="17"/>
      <c r="F244" s="10" t="n">
        <v>9676</v>
      </c>
      <c r="G244" s="10" t="n">
        <v>9731</v>
      </c>
      <c r="H244" s="17"/>
      <c r="I244" s="10" t="n">
        <v>9112</v>
      </c>
      <c r="J244" s="10" t="n">
        <v>8905</v>
      </c>
      <c r="K244" s="10" t="n">
        <v>8197</v>
      </c>
    </row>
    <row r="245" customFormat="false" ht="15" hidden="false" customHeight="false" outlineLevel="0" collapsed="false">
      <c r="A245" s="9" t="s">
        <v>174</v>
      </c>
      <c r="B245" s="17"/>
      <c r="C245" s="17"/>
      <c r="D245" s="17"/>
      <c r="E245" s="17"/>
      <c r="F245" s="10" t="n">
        <v>12484</v>
      </c>
      <c r="G245" s="10" t="n">
        <v>12777</v>
      </c>
      <c r="H245" s="17"/>
      <c r="I245" s="10" t="n">
        <v>12518</v>
      </c>
      <c r="J245" s="10" t="n">
        <v>12443</v>
      </c>
      <c r="K245" s="10" t="n">
        <v>12191</v>
      </c>
    </row>
    <row r="246" customFormat="false" ht="15" hidden="false" customHeight="false" outlineLevel="0" collapsed="false">
      <c r="A246" s="12" t="s">
        <v>175</v>
      </c>
      <c r="B246" s="22"/>
      <c r="C246" s="22"/>
      <c r="D246" s="22"/>
      <c r="E246" s="22"/>
      <c r="F246" s="13" t="n">
        <v>22160</v>
      </c>
      <c r="G246" s="13" t="n">
        <v>22508</v>
      </c>
      <c r="H246" s="22"/>
      <c r="I246" s="13" t="n">
        <v>21630</v>
      </c>
      <c r="J246" s="13" t="n">
        <v>21348</v>
      </c>
      <c r="K246" s="13" t="n">
        <v>20388</v>
      </c>
    </row>
    <row r="247" customFormat="false" ht="15" hidden="false" customHeight="false" outlineLevel="0" collapsed="false">
      <c r="A247" s="9" t="s">
        <v>176</v>
      </c>
      <c r="B247" s="17"/>
      <c r="C247" s="17"/>
      <c r="D247" s="17"/>
      <c r="E247" s="17"/>
      <c r="F247" s="17"/>
      <c r="G247" s="11" t="n">
        <f aca="false">G246-F246+G163</f>
        <v>2593</v>
      </c>
      <c r="H247" s="17"/>
      <c r="I247" s="17"/>
      <c r="J247" s="11" t="n">
        <f aca="false">J246-I246+J163</f>
        <v>1150</v>
      </c>
      <c r="K247" s="11" t="n">
        <f aca="false">K246-J246+K163</f>
        <v>1066</v>
      </c>
    </row>
    <row r="249" customFormat="false" ht="15" hidden="false" customHeight="false" outlineLevel="0" collapsed="false">
      <c r="A249" s="8" t="s">
        <v>178</v>
      </c>
      <c r="B249" s="8"/>
      <c r="C249" s="8"/>
      <c r="D249" s="8"/>
      <c r="E249" s="8"/>
      <c r="F249" s="8"/>
      <c r="G249" s="8"/>
      <c r="H249" s="8"/>
      <c r="I249" s="8"/>
      <c r="J249" s="8"/>
      <c r="K249" s="8"/>
    </row>
    <row r="250" customFormat="false" ht="15" hidden="false" customHeight="false" outlineLevel="0" collapsed="false">
      <c r="A250" s="2" t="s">
        <v>179</v>
      </c>
    </row>
    <row r="251" customFormat="false" ht="15" hidden="false" customHeight="false" outlineLevel="0" collapsed="false">
      <c r="A251" s="20" t="s">
        <v>180</v>
      </c>
      <c r="B251" s="20"/>
      <c r="C251" s="20"/>
      <c r="D251" s="20"/>
      <c r="E251" s="20"/>
      <c r="F251" s="20"/>
      <c r="G251" s="20"/>
      <c r="H251" s="20"/>
      <c r="I251" s="20"/>
      <c r="J251" s="20"/>
      <c r="K251" s="20"/>
    </row>
    <row r="252" customFormat="false" ht="15" hidden="false" customHeight="false" outlineLevel="0" collapsed="false">
      <c r="A252" s="9" t="s">
        <v>181</v>
      </c>
      <c r="B252" s="10" t="n">
        <v>34</v>
      </c>
      <c r="C252" s="10" t="n">
        <v>15</v>
      </c>
      <c r="D252" s="10" t="n">
        <v>29</v>
      </c>
      <c r="E252" s="11" t="n">
        <f aca="false">E469-SUM(B252:D252)</f>
        <v>34</v>
      </c>
      <c r="F252" s="10" t="n">
        <v>38</v>
      </c>
      <c r="G252" s="10" t="n">
        <v>47</v>
      </c>
      <c r="H252" s="10" t="n">
        <v>29</v>
      </c>
      <c r="I252" s="11" t="n">
        <f aca="false">I469-SUM(F252:H252)</f>
        <v>59</v>
      </c>
      <c r="J252" s="10" t="n">
        <v>37</v>
      </c>
      <c r="K252" s="10" t="n">
        <v>113</v>
      </c>
    </row>
    <row r="253" customFormat="false" ht="15" hidden="false" customHeight="false" outlineLevel="0" collapsed="false">
      <c r="A253" s="9" t="s">
        <v>182</v>
      </c>
      <c r="B253" s="10" t="n">
        <v>16</v>
      </c>
      <c r="C253" s="10" t="n">
        <v>14</v>
      </c>
      <c r="D253" s="10" t="n">
        <v>14</v>
      </c>
      <c r="E253" s="11" t="n">
        <f aca="false">E470-SUM(B253:D253)</f>
        <v>24</v>
      </c>
      <c r="F253" s="10" t="n">
        <v>29</v>
      </c>
      <c r="G253" s="10" t="n">
        <v>20</v>
      </c>
      <c r="H253" s="10" t="n">
        <v>20</v>
      </c>
      <c r="I253" s="11" t="n">
        <f aca="false">I470-SUM(F253:H253)</f>
        <v>41</v>
      </c>
      <c r="J253" s="10" t="n">
        <v>28</v>
      </c>
      <c r="K253" s="10" t="n">
        <v>52</v>
      </c>
    </row>
    <row r="254" customFormat="false" ht="15" hidden="false" customHeight="false" outlineLevel="0" collapsed="false">
      <c r="A254" s="9" t="s">
        <v>183</v>
      </c>
      <c r="B254" s="10" t="n">
        <v>8</v>
      </c>
      <c r="C254" s="10" t="n">
        <v>4</v>
      </c>
      <c r="D254" s="10" t="n">
        <v>9</v>
      </c>
      <c r="E254" s="11" t="n">
        <f aca="false">E471-SUM(B254:D254)</f>
        <v>4</v>
      </c>
      <c r="F254" s="10" t="n">
        <v>8</v>
      </c>
      <c r="G254" s="10" t="n">
        <v>7</v>
      </c>
      <c r="H254" s="10" t="n">
        <v>13</v>
      </c>
      <c r="I254" s="11" t="n">
        <f aca="false">I471-SUM(F254:H254)</f>
        <v>15</v>
      </c>
      <c r="J254" s="10" t="n">
        <v>12</v>
      </c>
      <c r="K254" s="10" t="n">
        <v>15</v>
      </c>
    </row>
    <row r="255" customFormat="false" ht="15" hidden="false" customHeight="false" outlineLevel="0" collapsed="false">
      <c r="A255" s="9" t="s">
        <v>184</v>
      </c>
      <c r="B255" s="10" t="n">
        <v>18</v>
      </c>
      <c r="C255" s="10" t="n">
        <v>1</v>
      </c>
      <c r="D255" s="10" t="n">
        <v>15</v>
      </c>
      <c r="E255" s="11" t="n">
        <f aca="false">E472-SUM(B255:D255)</f>
        <v>10</v>
      </c>
      <c r="F255" s="10" t="n">
        <v>9</v>
      </c>
      <c r="G255" s="10" t="n">
        <v>27</v>
      </c>
      <c r="H255" s="10" t="n">
        <v>9</v>
      </c>
      <c r="I255" s="11" t="n">
        <f aca="false">I472-SUM(F255:H255)</f>
        <v>18</v>
      </c>
      <c r="J255" s="10" t="n">
        <v>9</v>
      </c>
      <c r="K255" s="10" t="n">
        <v>61</v>
      </c>
    </row>
    <row r="256" customFormat="false" ht="15" hidden="false" customHeight="false" outlineLevel="0" collapsed="false">
      <c r="A256" s="9" t="s">
        <v>185</v>
      </c>
      <c r="B256" s="25" t="n">
        <v>4.9</v>
      </c>
      <c r="C256" s="25" t="n">
        <v>4.1</v>
      </c>
      <c r="D256" s="25" t="n">
        <v>5.1</v>
      </c>
      <c r="E256" s="26" t="n">
        <f aca="false">E473-SUM(B256:D256)</f>
        <v>6.1</v>
      </c>
      <c r="F256" s="25" t="n">
        <v>7.1</v>
      </c>
      <c r="G256" s="25" t="n">
        <v>5.1</v>
      </c>
      <c r="H256" s="25" t="n">
        <v>7.4</v>
      </c>
      <c r="I256" s="26" t="n">
        <f aca="false">I473-SUM(F256:H256)</f>
        <v>10.2</v>
      </c>
      <c r="J256" s="25" t="n">
        <v>8.1</v>
      </c>
      <c r="K256" s="25" t="n">
        <v>12.1</v>
      </c>
    </row>
    <row r="257" customFormat="false" ht="15" hidden="false" customHeight="false" outlineLevel="0" collapsed="false">
      <c r="A257" s="20" t="s">
        <v>186</v>
      </c>
      <c r="B257" s="20"/>
      <c r="C257" s="20"/>
      <c r="D257" s="20"/>
      <c r="E257" s="20"/>
      <c r="F257" s="20"/>
      <c r="G257" s="20"/>
      <c r="H257" s="20"/>
      <c r="I257" s="20"/>
      <c r="J257" s="20"/>
      <c r="K257" s="20"/>
    </row>
    <row r="258" customFormat="false" ht="15" hidden="false" customHeight="false" outlineLevel="0" collapsed="false">
      <c r="A258" s="9" t="s">
        <v>181</v>
      </c>
      <c r="B258" s="10" t="n">
        <v>17</v>
      </c>
      <c r="C258" s="10" t="n">
        <v>15</v>
      </c>
      <c r="D258" s="10" t="n">
        <v>18</v>
      </c>
      <c r="E258" s="11" t="n">
        <f aca="false">E474-SUM(B258:D258)</f>
        <v>25</v>
      </c>
      <c r="F258" s="10" t="n">
        <v>19</v>
      </c>
      <c r="G258" s="10" t="n">
        <v>21</v>
      </c>
      <c r="H258" s="10" t="n">
        <v>20</v>
      </c>
      <c r="I258" s="11" t="n">
        <f aca="false">I474-SUM(F258:H258)</f>
        <v>21</v>
      </c>
      <c r="J258" s="10" t="n">
        <v>25</v>
      </c>
      <c r="K258" s="10" t="n">
        <v>29</v>
      </c>
    </row>
    <row r="259" customFormat="false" ht="15" hidden="false" customHeight="false" outlineLevel="0" collapsed="false">
      <c r="A259" s="9" t="s">
        <v>182</v>
      </c>
      <c r="B259" s="10" t="n">
        <v>10</v>
      </c>
      <c r="C259" s="10" t="n">
        <v>8</v>
      </c>
      <c r="D259" s="10" t="n">
        <v>13</v>
      </c>
      <c r="E259" s="11" t="n">
        <f aca="false">E475-SUM(B259:D259)</f>
        <v>17</v>
      </c>
      <c r="F259" s="10" t="n">
        <v>12</v>
      </c>
      <c r="G259" s="10" t="n">
        <v>18</v>
      </c>
      <c r="H259" s="10" t="n">
        <v>14</v>
      </c>
      <c r="I259" s="11" t="n">
        <f aca="false">I475-SUM(F259:H259)</f>
        <v>10</v>
      </c>
      <c r="J259" s="10" t="n">
        <v>15</v>
      </c>
      <c r="K259" s="10" t="n">
        <v>13</v>
      </c>
    </row>
    <row r="260" customFormat="false" ht="15" hidden="false" customHeight="false" outlineLevel="0" collapsed="false">
      <c r="A260" s="9" t="s">
        <v>183</v>
      </c>
      <c r="B260" s="10" t="n">
        <v>1</v>
      </c>
      <c r="C260" s="10" t="n">
        <v>1</v>
      </c>
      <c r="D260" s="10" t="n">
        <v>5</v>
      </c>
      <c r="E260" s="11" t="n">
        <f aca="false">E476-SUM(B260:D260)</f>
        <v>8</v>
      </c>
      <c r="F260" s="10" t="n">
        <v>5</v>
      </c>
      <c r="G260" s="10" t="n">
        <v>8</v>
      </c>
      <c r="H260" s="10" t="n">
        <v>6</v>
      </c>
      <c r="I260" s="11" t="n">
        <f aca="false">I476-SUM(F260:H260)</f>
        <v>5</v>
      </c>
      <c r="J260" s="10" t="n">
        <v>5</v>
      </c>
      <c r="K260" s="10" t="n">
        <v>3</v>
      </c>
    </row>
    <row r="261" customFormat="false" ht="15" hidden="false" customHeight="false" outlineLevel="0" collapsed="false">
      <c r="A261" s="9" t="s">
        <v>184</v>
      </c>
      <c r="B261" s="10" t="n">
        <v>7</v>
      </c>
      <c r="C261" s="10" t="n">
        <v>7</v>
      </c>
      <c r="D261" s="10" t="n">
        <v>5</v>
      </c>
      <c r="E261" s="11" t="n">
        <f aca="false">E477-SUM(B261:D261)</f>
        <v>8</v>
      </c>
      <c r="F261" s="10" t="n">
        <v>7</v>
      </c>
      <c r="G261" s="10" t="n">
        <v>3</v>
      </c>
      <c r="H261" s="10" t="n">
        <v>6</v>
      </c>
      <c r="I261" s="11" t="n">
        <f aca="false">I477-SUM(F261:H261)</f>
        <v>11</v>
      </c>
      <c r="J261" s="10" t="n">
        <v>10</v>
      </c>
      <c r="K261" s="10" t="n">
        <v>16</v>
      </c>
    </row>
    <row r="262" customFormat="false" ht="15" hidden="false" customHeight="false" outlineLevel="0" collapsed="false">
      <c r="A262" s="9" t="s">
        <v>187</v>
      </c>
      <c r="B262" s="25" t="n">
        <v>2.3</v>
      </c>
      <c r="C262" s="25" t="n">
        <v>1.5</v>
      </c>
      <c r="D262" s="25" t="n">
        <v>3.3</v>
      </c>
      <c r="E262" s="26" t="n">
        <f aca="false">E478-SUM(B262:D262)</f>
        <v>4.8</v>
      </c>
      <c r="F262" s="25" t="n">
        <v>3</v>
      </c>
      <c r="G262" s="25" t="n">
        <v>5.2</v>
      </c>
      <c r="H262" s="25" t="n">
        <v>4</v>
      </c>
      <c r="I262" s="26" t="n">
        <f aca="false">I478-SUM(F262:H262)</f>
        <v>3.1</v>
      </c>
      <c r="J262" s="25" t="n">
        <v>4.2</v>
      </c>
      <c r="K262" s="25" t="n">
        <v>3.3</v>
      </c>
    </row>
    <row r="263" customFormat="false" ht="15" hidden="false" customHeight="false" outlineLevel="0" collapsed="false">
      <c r="A263" s="9" t="s">
        <v>188</v>
      </c>
      <c r="B263" s="24" t="n">
        <f aca="false">IF(ISNUMBER(B262),IF(B262&lt;&gt;0,B256/B262,""),"")</f>
        <v>2.1304347826087</v>
      </c>
      <c r="C263" s="24" t="n">
        <f aca="false">IF(ISNUMBER(C262),IF(C262&lt;&gt;0,C256/C262,""),"")</f>
        <v>2.73333333333333</v>
      </c>
      <c r="D263" s="24" t="n">
        <f aca="false">IF(ISNUMBER(D262),IF(D262&lt;&gt;0,D256/D262,""),"")</f>
        <v>1.54545454545455</v>
      </c>
      <c r="E263" s="24" t="n">
        <f aca="false">IF(ISNUMBER(E262),IF(E262&lt;&gt;0,E256/E262,""),"")</f>
        <v>1.27083333333333</v>
      </c>
      <c r="F263" s="24" t="n">
        <f aca="false">IF(ISNUMBER(F262),IF(F262&lt;&gt;0,F256/F262,""),"")</f>
        <v>2.36666666666667</v>
      </c>
      <c r="G263" s="24" t="n">
        <f aca="false">IF(ISNUMBER(G262),IF(G262&lt;&gt;0,G256/G262,""),"")</f>
        <v>0.980769230769231</v>
      </c>
      <c r="H263" s="24" t="n">
        <f aca="false">IF(ISNUMBER(H262),IF(H262&lt;&gt;0,H256/H262,""),"")</f>
        <v>1.85</v>
      </c>
      <c r="I263" s="24" t="n">
        <f aca="false">IF(ISNUMBER(I262),IF(I262&lt;&gt;0,I256/I262,""),"")</f>
        <v>3.29032258064516</v>
      </c>
      <c r="J263" s="24" t="n">
        <f aca="false">IF(ISNUMBER(J262),IF(J262&lt;&gt;0,J256/J262,""),"")</f>
        <v>1.92857142857143</v>
      </c>
      <c r="K263" s="24" t="n">
        <f aca="false">IF(ISNUMBER(K262),IF(K262&lt;&gt;0,K256/K262,""),"")</f>
        <v>3.66666666666667</v>
      </c>
    </row>
    <row r="264" customFormat="false" ht="15" hidden="false" customHeight="false" outlineLevel="0" collapsed="false">
      <c r="A264" s="20" t="s">
        <v>189</v>
      </c>
      <c r="B264" s="20"/>
      <c r="C264" s="20"/>
      <c r="D264" s="20"/>
      <c r="E264" s="20"/>
      <c r="F264" s="20"/>
      <c r="G264" s="20"/>
      <c r="H264" s="20"/>
      <c r="I264" s="20"/>
      <c r="J264" s="20"/>
      <c r="K264" s="20"/>
    </row>
    <row r="265" customFormat="false" ht="15" hidden="false" customHeight="false" outlineLevel="0" collapsed="false">
      <c r="A265" s="9" t="s">
        <v>190</v>
      </c>
      <c r="B265" s="10" t="n">
        <v>190</v>
      </c>
      <c r="C265" s="10" t="n">
        <v>431</v>
      </c>
      <c r="D265" s="10" t="n">
        <v>249</v>
      </c>
      <c r="E265" s="11" t="n">
        <f aca="false">E479-SUM(B265:D265)</f>
        <v>342</v>
      </c>
      <c r="F265" s="10" t="n">
        <v>23</v>
      </c>
      <c r="G265" s="10" t="n">
        <v>381</v>
      </c>
      <c r="H265" s="10" t="n">
        <v>156</v>
      </c>
      <c r="I265" s="11" t="n">
        <f aca="false">I479-SUM(F265:H265)</f>
        <v>294</v>
      </c>
      <c r="J265" s="10" t="n">
        <v>146</v>
      </c>
      <c r="K265" s="10" t="n">
        <v>147</v>
      </c>
    </row>
    <row r="266" customFormat="false" ht="15" hidden="false" customHeight="false" outlineLevel="0" collapsed="false">
      <c r="A266" s="9" t="s">
        <v>191</v>
      </c>
      <c r="B266" s="10" t="n">
        <v>41</v>
      </c>
      <c r="C266" s="10" t="n">
        <v>205</v>
      </c>
      <c r="D266" s="10" t="n">
        <v>132</v>
      </c>
      <c r="E266" s="11" t="n">
        <f aca="false">E480-SUM(B266:D266)</f>
        <v>278</v>
      </c>
      <c r="F266" s="10" t="n">
        <v>0</v>
      </c>
      <c r="G266" s="10" t="n">
        <v>205</v>
      </c>
      <c r="H266" s="10" t="n">
        <v>139</v>
      </c>
      <c r="I266" s="11" t="n">
        <f aca="false">I480-SUM(F266:H266)</f>
        <v>264</v>
      </c>
      <c r="J266" s="10" t="n">
        <v>49</v>
      </c>
      <c r="K266" s="10" t="n">
        <v>0</v>
      </c>
    </row>
    <row r="267" customFormat="false" ht="15" hidden="false" customHeight="false" outlineLevel="0" collapsed="false">
      <c r="A267" s="9" t="s">
        <v>192</v>
      </c>
      <c r="B267" s="25" t="n">
        <v>0.7</v>
      </c>
      <c r="C267" s="25" t="n">
        <v>1.8</v>
      </c>
      <c r="D267" s="25" t="n">
        <v>1.2</v>
      </c>
      <c r="E267" s="26" t="n">
        <f aca="false">E481-SUM(B267:D267)</f>
        <v>1.6</v>
      </c>
      <c r="F267" s="25" t="n">
        <v>0.1</v>
      </c>
      <c r="G267" s="25" t="n">
        <v>1.6</v>
      </c>
      <c r="H267" s="25" t="n">
        <v>0.9</v>
      </c>
      <c r="I267" s="26" t="n">
        <f aca="false">I481-SUM(F267:H267)</f>
        <v>2.3</v>
      </c>
      <c r="J267" s="25" t="n">
        <v>0.6</v>
      </c>
      <c r="K267" s="25" t="n">
        <v>0.6</v>
      </c>
    </row>
    <row r="268" customFormat="false" ht="15" hidden="false" customHeight="false" outlineLevel="0" collapsed="false">
      <c r="A268" s="20" t="s">
        <v>193</v>
      </c>
      <c r="B268" s="20"/>
      <c r="C268" s="20"/>
      <c r="D268" s="20"/>
      <c r="E268" s="20"/>
      <c r="F268" s="20"/>
      <c r="G268" s="20"/>
      <c r="H268" s="20"/>
      <c r="I268" s="20"/>
      <c r="J268" s="20"/>
      <c r="K268" s="20"/>
    </row>
    <row r="269" customFormat="false" ht="15" hidden="false" customHeight="false" outlineLevel="0" collapsed="false">
      <c r="A269" s="9" t="s">
        <v>190</v>
      </c>
      <c r="B269" s="10" t="n">
        <v>252</v>
      </c>
      <c r="C269" s="10" t="n">
        <v>341</v>
      </c>
      <c r="D269" s="10" t="n">
        <v>515</v>
      </c>
      <c r="E269" s="11" t="n">
        <f aca="false">E482-SUM(B269:D269)</f>
        <v>670</v>
      </c>
      <c r="F269" s="10" t="n">
        <v>276</v>
      </c>
      <c r="G269" s="10" t="n">
        <v>351</v>
      </c>
      <c r="H269" s="10" t="n">
        <v>476</v>
      </c>
      <c r="I269" s="11" t="n">
        <f aca="false">I482-SUM(F269:H269)</f>
        <v>415</v>
      </c>
      <c r="J269" s="10" t="n">
        <v>154</v>
      </c>
      <c r="K269" s="10" t="n">
        <v>336</v>
      </c>
    </row>
    <row r="270" customFormat="false" ht="15" hidden="false" customHeight="false" outlineLevel="0" collapsed="false">
      <c r="A270" s="9" t="s">
        <v>191</v>
      </c>
      <c r="B270" s="10" t="n">
        <v>0</v>
      </c>
      <c r="C270" s="10" t="n">
        <v>64</v>
      </c>
      <c r="D270" s="10" t="n">
        <v>182</v>
      </c>
      <c r="E270" s="11" t="n">
        <f aca="false">E483-SUM(B270:D270)</f>
        <v>52</v>
      </c>
      <c r="F270" s="10" t="n">
        <v>130</v>
      </c>
      <c r="G270" s="10" t="n">
        <v>156</v>
      </c>
      <c r="H270" s="10" t="n">
        <v>158</v>
      </c>
      <c r="I270" s="11" t="n">
        <f aca="false">I483-SUM(F270:H270)</f>
        <v>145</v>
      </c>
      <c r="J270" s="10" t="n">
        <v>0</v>
      </c>
      <c r="K270" s="10" t="n">
        <v>27</v>
      </c>
    </row>
    <row r="271" customFormat="false" ht="15" hidden="false" customHeight="false" outlineLevel="0" collapsed="false">
      <c r="A271" s="9" t="s">
        <v>192</v>
      </c>
      <c r="B271" s="25" t="n">
        <v>1.1</v>
      </c>
      <c r="C271" s="25" t="n">
        <v>1.6</v>
      </c>
      <c r="D271" s="25" t="n">
        <v>2.4</v>
      </c>
      <c r="E271" s="26" t="n">
        <f aca="false">E484-SUM(B271:D271)</f>
        <v>2.7</v>
      </c>
      <c r="F271" s="25" t="n">
        <v>1.3</v>
      </c>
      <c r="G271" s="25" t="n">
        <v>1.7</v>
      </c>
      <c r="H271" s="25" t="n">
        <v>2.1</v>
      </c>
      <c r="I271" s="26" t="n">
        <f aca="false">I484-SUM(F271:H271)</f>
        <v>1.8</v>
      </c>
      <c r="J271" s="25" t="n">
        <v>0.6</v>
      </c>
      <c r="K271" s="25" t="n">
        <v>1.4</v>
      </c>
    </row>
    <row r="273" customFormat="false" ht="15" hidden="false" customHeight="false" outlineLevel="0" collapsed="false">
      <c r="A273" s="8" t="s">
        <v>194</v>
      </c>
      <c r="B273" s="8"/>
      <c r="C273" s="8"/>
      <c r="D273" s="8"/>
      <c r="E273" s="8"/>
      <c r="F273" s="8"/>
      <c r="G273" s="8"/>
      <c r="H273" s="8"/>
      <c r="I273" s="8"/>
      <c r="J273" s="8"/>
      <c r="K273" s="8"/>
    </row>
    <row r="274" customFormat="false" ht="15" hidden="false" customHeight="false" outlineLevel="0" collapsed="false">
      <c r="A274" s="2" t="s">
        <v>195</v>
      </c>
    </row>
    <row r="275" customFormat="false" ht="15" hidden="false" customHeight="false" outlineLevel="0" collapsed="false">
      <c r="A275" s="20" t="s">
        <v>196</v>
      </c>
      <c r="B275" s="20"/>
      <c r="C275" s="20"/>
      <c r="D275" s="20"/>
      <c r="E275" s="20"/>
      <c r="F275" s="20"/>
      <c r="G275" s="20"/>
      <c r="H275" s="20"/>
      <c r="I275" s="20"/>
      <c r="J275" s="20"/>
      <c r="K275" s="20"/>
    </row>
    <row r="276" customFormat="false" ht="15" hidden="false" customHeight="false" outlineLevel="0" collapsed="false">
      <c r="A276" s="9" t="s">
        <v>197</v>
      </c>
      <c r="B276" s="10" t="n">
        <v>5167</v>
      </c>
      <c r="C276" s="10" t="n">
        <v>5346</v>
      </c>
      <c r="D276" s="10" t="n">
        <v>5218</v>
      </c>
      <c r="E276" s="10" t="n">
        <v>5321</v>
      </c>
      <c r="F276" s="10" t="n">
        <v>5455</v>
      </c>
      <c r="G276" s="10" t="n">
        <v>5597</v>
      </c>
      <c r="H276" s="10" t="n">
        <v>5535</v>
      </c>
      <c r="I276" s="10" t="n">
        <v>5417</v>
      </c>
      <c r="J276" s="10" t="n">
        <v>5384</v>
      </c>
      <c r="K276" s="10" t="n">
        <v>5399</v>
      </c>
    </row>
    <row r="277" customFormat="false" ht="15" hidden="false" customHeight="false" outlineLevel="0" collapsed="false">
      <c r="A277" s="9" t="s">
        <v>198</v>
      </c>
      <c r="B277" s="10" t="n">
        <v>3412</v>
      </c>
      <c r="C277" s="10" t="n">
        <v>3356</v>
      </c>
      <c r="D277" s="10" t="n">
        <v>3374</v>
      </c>
      <c r="E277" s="10" t="n">
        <v>3300</v>
      </c>
      <c r="F277" s="10" t="n">
        <v>3586</v>
      </c>
      <c r="G277" s="10" t="n">
        <v>3892</v>
      </c>
      <c r="H277" s="10" t="n">
        <v>3950</v>
      </c>
      <c r="I277" s="10" t="n">
        <v>3877</v>
      </c>
      <c r="J277" s="10" t="n">
        <v>4225</v>
      </c>
      <c r="K277" s="10" t="n">
        <v>4123</v>
      </c>
    </row>
    <row r="278" customFormat="false" ht="15" hidden="false" customHeight="false" outlineLevel="0" collapsed="false">
      <c r="A278" s="12" t="s">
        <v>196</v>
      </c>
      <c r="B278" s="13" t="n">
        <v>8579</v>
      </c>
      <c r="C278" s="13" t="n">
        <v>8702</v>
      </c>
      <c r="D278" s="13" t="n">
        <v>8592</v>
      </c>
      <c r="E278" s="13" t="n">
        <v>8621</v>
      </c>
      <c r="F278" s="13" t="n">
        <v>9040</v>
      </c>
      <c r="G278" s="13" t="n">
        <v>9489</v>
      </c>
      <c r="H278" s="13" t="n">
        <v>9485</v>
      </c>
      <c r="I278" s="13" t="n">
        <v>9294</v>
      </c>
      <c r="J278" s="13" t="n">
        <v>9609</v>
      </c>
      <c r="K278" s="13" t="n">
        <v>9522</v>
      </c>
    </row>
    <row r="279" customFormat="false" ht="15" hidden="false" customHeight="false" outlineLevel="0" collapsed="false">
      <c r="A279" s="20" t="s">
        <v>199</v>
      </c>
      <c r="B279" s="20"/>
      <c r="C279" s="20"/>
      <c r="D279" s="20"/>
      <c r="E279" s="20"/>
      <c r="F279" s="20"/>
      <c r="G279" s="20"/>
      <c r="H279" s="20"/>
      <c r="I279" s="20"/>
      <c r="J279" s="20"/>
      <c r="K279" s="20"/>
    </row>
    <row r="280" customFormat="false" ht="15" hidden="false" customHeight="false" outlineLevel="0" collapsed="false">
      <c r="A280" s="9" t="s">
        <v>200</v>
      </c>
      <c r="B280" s="10" t="n">
        <v>1804</v>
      </c>
      <c r="C280" s="10" t="n">
        <v>1806</v>
      </c>
      <c r="D280" s="10" t="n">
        <v>1914</v>
      </c>
      <c r="E280" s="10" t="n">
        <v>1789</v>
      </c>
      <c r="F280" s="10" t="n">
        <v>1876</v>
      </c>
      <c r="G280" s="10" t="n">
        <v>1914</v>
      </c>
      <c r="H280" s="10" t="n">
        <v>1989</v>
      </c>
      <c r="I280" s="10" t="n">
        <v>1977</v>
      </c>
      <c r="J280" s="10" t="n">
        <v>1917</v>
      </c>
      <c r="K280" s="10" t="n">
        <v>1880</v>
      </c>
    </row>
    <row r="281" customFormat="false" ht="15" hidden="false" customHeight="false" outlineLevel="0" collapsed="false">
      <c r="A281" s="9" t="s">
        <v>201</v>
      </c>
      <c r="B281" s="10" t="n">
        <v>13777</v>
      </c>
      <c r="C281" s="10" t="n">
        <v>14452</v>
      </c>
      <c r="D281" s="10" t="n">
        <v>14700</v>
      </c>
      <c r="E281" s="10" t="n">
        <v>15511</v>
      </c>
      <c r="F281" s="10" t="n">
        <v>16525</v>
      </c>
      <c r="G281" s="10" t="n">
        <v>17371</v>
      </c>
      <c r="H281" s="10" t="n">
        <v>17865</v>
      </c>
      <c r="I281" s="10" t="n">
        <v>23798</v>
      </c>
      <c r="J281" s="10" t="n">
        <v>29913</v>
      </c>
      <c r="K281" s="10" t="n">
        <v>38064</v>
      </c>
    </row>
    <row r="282" customFormat="false" ht="15" hidden="false" customHeight="false" outlineLevel="0" collapsed="false">
      <c r="A282" s="9" t="s">
        <v>202</v>
      </c>
      <c r="B282" s="11" t="n">
        <f aca="false">B283-B280-B281</f>
        <v>338</v>
      </c>
      <c r="C282" s="11" t="n">
        <f aca="false">C283-C280-C281</f>
        <v>278</v>
      </c>
      <c r="D282" s="11" t="n">
        <f aca="false">D283-D280-D281</f>
        <v>294</v>
      </c>
      <c r="E282" s="11" t="n">
        <f aca="false">E283-E280-E281</f>
        <v>287</v>
      </c>
      <c r="F282" s="11" t="n">
        <f aca="false">F283-F280-F281</f>
        <v>307</v>
      </c>
      <c r="G282" s="11" t="n">
        <f aca="false">G283-G280-G281</f>
        <v>318</v>
      </c>
      <c r="H282" s="11" t="n">
        <f aca="false">H283-H280-H281</f>
        <v>297</v>
      </c>
      <c r="I282" s="11" t="n">
        <f aca="false">I283-I280-I281</f>
        <v>-1</v>
      </c>
      <c r="J282" s="11" t="n">
        <f aca="false">J283-J280-J281</f>
        <v>0</v>
      </c>
      <c r="K282" s="11" t="n">
        <f aca="false">K283-K280-K281</f>
        <v>0</v>
      </c>
    </row>
    <row r="283" customFormat="false" ht="15" hidden="false" customHeight="false" outlineLevel="0" collapsed="false">
      <c r="A283" s="12" t="s">
        <v>199</v>
      </c>
      <c r="B283" s="13" t="n">
        <v>15919</v>
      </c>
      <c r="C283" s="13" t="n">
        <v>16536</v>
      </c>
      <c r="D283" s="13" t="n">
        <v>16908</v>
      </c>
      <c r="E283" s="13" t="n">
        <v>17587</v>
      </c>
      <c r="F283" s="13" t="n">
        <v>18708</v>
      </c>
      <c r="G283" s="13" t="n">
        <v>19603</v>
      </c>
      <c r="H283" s="13" t="n">
        <v>20151</v>
      </c>
      <c r="I283" s="13" t="n">
        <v>25774</v>
      </c>
      <c r="J283" s="13" t="n">
        <v>31830</v>
      </c>
      <c r="K283" s="13" t="n">
        <v>39944</v>
      </c>
    </row>
    <row r="284" customFormat="false" ht="15" hidden="false" customHeight="false" outlineLevel="0" collapsed="false">
      <c r="A284" s="9" t="s">
        <v>203</v>
      </c>
      <c r="B284" s="18" t="n">
        <f aca="false">IF(B212&lt;&gt;0,B281/B212,"")</f>
        <v>0.326391850272447</v>
      </c>
      <c r="C284" s="18" t="n">
        <f aca="false">IF(C212&lt;&gt;0,C281/C212,"")</f>
        <v>0.347729842881548</v>
      </c>
      <c r="D284" s="18" t="n">
        <f aca="false">IF(D212&lt;&gt;0,D281/D212,"")</f>
        <v>0.349425943093489</v>
      </c>
      <c r="E284" s="18" t="n">
        <f aca="false">IF(E212&lt;&gt;0,E281/E212,"")</f>
        <v>0.360327084349664</v>
      </c>
      <c r="F284" s="18" t="n">
        <f aca="false">IF(F212&lt;&gt;0,F281/F212,"")</f>
        <v>0.363362504947447</v>
      </c>
      <c r="G284" s="18" t="n">
        <f aca="false">IF(G212&lt;&gt;0,G281/G212,"")</f>
        <v>0.349432732539427</v>
      </c>
      <c r="H284" s="18" t="n">
        <f aca="false">IF(H212&lt;&gt;0,H281/H212,"")</f>
        <v>0.330270650003697</v>
      </c>
      <c r="I284" s="18" t="n">
        <f aca="false">IF(I212&lt;&gt;0,I281/I212,"")</f>
        <v>0.370425714063351</v>
      </c>
      <c r="J284" s="18" t="n">
        <f aca="false">IF(J212&lt;&gt;0,J281/J212,"")</f>
        <v>0.393986091354512</v>
      </c>
      <c r="K284" s="18" t="n">
        <f aca="false">IF(K212&lt;&gt;0,K281/K212,"")</f>
        <v>0.433427084638071</v>
      </c>
    </row>
    <row r="285" customFormat="false" ht="15" hidden="false" customHeight="false" outlineLevel="0" collapsed="false">
      <c r="A285" s="12" t="s">
        <v>204</v>
      </c>
      <c r="B285" s="14" t="n">
        <f aca="false">B278-B283</f>
        <v>-7340</v>
      </c>
      <c r="C285" s="14" t="n">
        <f aca="false">C278-C283</f>
        <v>-7834</v>
      </c>
      <c r="D285" s="14" t="n">
        <f aca="false">D278-D283</f>
        <v>-8316</v>
      </c>
      <c r="E285" s="14" t="n">
        <f aca="false">E278-E283</f>
        <v>-8966</v>
      </c>
      <c r="F285" s="14" t="n">
        <f aca="false">F278-F283</f>
        <v>-9668</v>
      </c>
      <c r="G285" s="14" t="n">
        <f aca="false">G278-G283</f>
        <v>-10114</v>
      </c>
      <c r="H285" s="14" t="n">
        <f aca="false">H278-H283</f>
        <v>-10666</v>
      </c>
      <c r="I285" s="14" t="n">
        <f aca="false">I278-I283</f>
        <v>-16480</v>
      </c>
      <c r="J285" s="14" t="n">
        <f aca="false">J278-J283</f>
        <v>-22221</v>
      </c>
      <c r="K285" s="14" t="n">
        <f aca="false">K278-K283</f>
        <v>-30422</v>
      </c>
    </row>
    <row r="286" customFormat="false" ht="15" hidden="false" customHeight="false" outlineLevel="0" collapsed="false">
      <c r="A286" s="20" t="s">
        <v>205</v>
      </c>
      <c r="B286" s="20"/>
      <c r="C286" s="20"/>
      <c r="D286" s="20"/>
      <c r="E286" s="20"/>
      <c r="F286" s="20"/>
      <c r="G286" s="20"/>
      <c r="H286" s="20"/>
      <c r="I286" s="20"/>
      <c r="J286" s="20"/>
      <c r="K286" s="20"/>
    </row>
    <row r="287" customFormat="false" ht="15" hidden="false" customHeight="false" outlineLevel="0" collapsed="false">
      <c r="A287" s="9" t="s">
        <v>111</v>
      </c>
      <c r="B287" s="10" t="n">
        <v>5980</v>
      </c>
      <c r="C287" s="10" t="n">
        <v>6327</v>
      </c>
      <c r="D287" s="10" t="n">
        <v>7134</v>
      </c>
      <c r="E287" s="10" t="n">
        <v>7879</v>
      </c>
      <c r="F287" s="10" t="n">
        <v>8764</v>
      </c>
      <c r="G287" s="10" t="n">
        <v>9694</v>
      </c>
      <c r="H287" s="10" t="n">
        <v>10617</v>
      </c>
      <c r="I287" s="10" t="n">
        <v>14550</v>
      </c>
      <c r="J287" s="10" t="n">
        <v>18479</v>
      </c>
      <c r="K287" s="10" t="n">
        <v>25799</v>
      </c>
    </row>
    <row r="288" customFormat="false" ht="15" hidden="false" customHeight="false" outlineLevel="0" collapsed="false">
      <c r="A288" s="9" t="s">
        <v>112</v>
      </c>
      <c r="B288" s="10" t="n">
        <v>2664</v>
      </c>
      <c r="C288" s="10" t="n">
        <v>3154</v>
      </c>
      <c r="D288" s="10" t="n">
        <v>3500</v>
      </c>
      <c r="E288" s="10" t="n">
        <v>3946</v>
      </c>
      <c r="F288" s="10" t="n">
        <v>4489</v>
      </c>
      <c r="G288" s="10" t="n">
        <v>5052</v>
      </c>
      <c r="H288" s="10" t="n">
        <v>5204</v>
      </c>
      <c r="I288" s="10" t="n">
        <v>6449</v>
      </c>
      <c r="J288" s="10" t="n">
        <v>8259</v>
      </c>
      <c r="K288" s="10" t="n">
        <v>9113</v>
      </c>
    </row>
    <row r="289" customFormat="false" ht="15" hidden="false" customHeight="false" outlineLevel="0" collapsed="false">
      <c r="A289" s="9" t="s">
        <v>113</v>
      </c>
      <c r="B289" s="10" t="n">
        <v>5134</v>
      </c>
      <c r="C289" s="10" t="n">
        <v>4970</v>
      </c>
      <c r="D289" s="10" t="n">
        <v>4067</v>
      </c>
      <c r="E289" s="10" t="n">
        <v>3684</v>
      </c>
      <c r="F289" s="10" t="n">
        <v>3270</v>
      </c>
      <c r="G289" s="10" t="n">
        <v>2624</v>
      </c>
      <c r="H289" s="10" t="n">
        <v>2042</v>
      </c>
      <c r="I289" s="10" t="n">
        <v>2796</v>
      </c>
      <c r="J289" s="10" t="n">
        <v>3173</v>
      </c>
      <c r="K289" s="10" t="n">
        <v>3150</v>
      </c>
    </row>
    <row r="290" customFormat="false" ht="15" hidden="false" customHeight="false" outlineLevel="0" collapsed="false">
      <c r="A290" s="9" t="s">
        <v>206</v>
      </c>
      <c r="B290" s="17"/>
      <c r="C290" s="11" t="n">
        <f aca="false">C281-B281</f>
        <v>675</v>
      </c>
      <c r="D290" s="11" t="n">
        <f aca="false">D281-C281</f>
        <v>248</v>
      </c>
      <c r="E290" s="11" t="n">
        <f aca="false">E281-D281</f>
        <v>811</v>
      </c>
      <c r="F290" s="11" t="n">
        <f aca="false">F281-E281</f>
        <v>1014</v>
      </c>
      <c r="G290" s="11" t="n">
        <f aca="false">G281-F281</f>
        <v>846</v>
      </c>
      <c r="H290" s="11" t="n">
        <f aca="false">H281-G281</f>
        <v>494</v>
      </c>
      <c r="I290" s="11" t="n">
        <f aca="false">I281-H281</f>
        <v>5933</v>
      </c>
      <c r="J290" s="11" t="n">
        <f aca="false">J281-I281</f>
        <v>6115</v>
      </c>
      <c r="K290" s="11" t="n">
        <f aca="false">K281-J281</f>
        <v>8151</v>
      </c>
    </row>
    <row r="292" customFormat="false" ht="15" hidden="false" customHeight="false" outlineLevel="0" collapsed="false">
      <c r="A292" s="8" t="s">
        <v>207</v>
      </c>
      <c r="B292" s="8"/>
      <c r="C292" s="8"/>
      <c r="D292" s="8"/>
      <c r="E292" s="8"/>
      <c r="F292" s="8"/>
      <c r="G292" s="8"/>
      <c r="H292" s="8"/>
      <c r="I292" s="8"/>
      <c r="J292" s="8"/>
      <c r="K292" s="8"/>
    </row>
    <row r="293" customFormat="false" ht="15" hidden="false" customHeight="false" outlineLevel="0" collapsed="false">
      <c r="A293" s="9" t="s">
        <v>51</v>
      </c>
      <c r="B293" s="11" t="n">
        <f aca="false">B377</f>
        <v>-106</v>
      </c>
      <c r="C293" s="11" t="n">
        <f aca="false">C377-B377</f>
        <v>1280</v>
      </c>
      <c r="D293" s="11" t="n">
        <f aca="false">D377-C377</f>
        <v>-99</v>
      </c>
      <c r="E293" s="11" t="n">
        <f aca="false">E377-D377</f>
        <v>484</v>
      </c>
      <c r="F293" s="11" t="n">
        <f aca="false">F377</f>
        <v>264</v>
      </c>
      <c r="G293" s="11" t="n">
        <f aca="false">G377-F377</f>
        <v>492</v>
      </c>
      <c r="H293" s="11" t="n">
        <f aca="false">H377-G377</f>
        <v>453</v>
      </c>
      <c r="I293" s="11" t="n">
        <f aca="false">I377-H377</f>
        <v>3670</v>
      </c>
      <c r="J293" s="11" t="n">
        <f aca="false">J377</f>
        <v>4750</v>
      </c>
      <c r="K293" s="11" t="n">
        <f aca="false">K377-J377</f>
        <v>648</v>
      </c>
    </row>
    <row r="294" customFormat="false" ht="15" hidden="false" customHeight="false" outlineLevel="0" collapsed="false">
      <c r="A294" s="9" t="s">
        <v>208</v>
      </c>
      <c r="B294" s="11" t="n">
        <f aca="false">B378</f>
        <v>188</v>
      </c>
      <c r="C294" s="11" t="n">
        <f aca="false">C378-B378</f>
        <v>191</v>
      </c>
      <c r="D294" s="11" t="n">
        <f aca="false">D378-C378</f>
        <v>336</v>
      </c>
      <c r="E294" s="11" t="n">
        <f aca="false">E378-D378</f>
        <v>180</v>
      </c>
      <c r="F294" s="11" t="n">
        <f aca="false">F378</f>
        <v>149</v>
      </c>
      <c r="G294" s="11" t="n">
        <f aca="false">G378-F378</f>
        <v>145</v>
      </c>
      <c r="H294" s="11" t="n">
        <f aca="false">H378-G378</f>
        <v>152</v>
      </c>
      <c r="I294" s="11" t="n">
        <f aca="false">I378-H378</f>
        <v>169</v>
      </c>
      <c r="J294" s="11" t="n">
        <f aca="false">J378</f>
        <v>166</v>
      </c>
      <c r="K294" s="11" t="n">
        <f aca="false">K378-J378</f>
        <v>182</v>
      </c>
    </row>
    <row r="295" customFormat="false" ht="15" hidden="false" customHeight="false" outlineLevel="0" collapsed="false">
      <c r="A295" s="9" t="s">
        <v>209</v>
      </c>
      <c r="B295" s="11" t="n">
        <f aca="false">B379</f>
        <v>63</v>
      </c>
      <c r="C295" s="11" t="n">
        <f aca="false">C379-B379</f>
        <v>63</v>
      </c>
      <c r="D295" s="11" t="n">
        <f aca="false">D379-C379</f>
        <v>62</v>
      </c>
      <c r="E295" s="11" t="n">
        <f aca="false">E379-D379</f>
        <v>89</v>
      </c>
      <c r="F295" s="11" t="n">
        <f aca="false">F379</f>
        <v>56</v>
      </c>
      <c r="G295" s="11" t="n">
        <f aca="false">G379-F379</f>
        <v>60</v>
      </c>
      <c r="H295" s="11" t="n">
        <f aca="false">H379-G379</f>
        <v>61</v>
      </c>
      <c r="I295" s="11" t="n">
        <f aca="false">I379-H379</f>
        <v>61</v>
      </c>
      <c r="J295" s="11" t="n">
        <f aca="false">J379</f>
        <v>176</v>
      </c>
      <c r="K295" s="11" t="n">
        <f aca="false">K379-J379</f>
        <v>235</v>
      </c>
    </row>
    <row r="296" customFormat="false" ht="15" hidden="false" customHeight="false" outlineLevel="0" collapsed="false">
      <c r="A296" s="9" t="s">
        <v>75</v>
      </c>
      <c r="B296" s="11" t="n">
        <f aca="false">B380</f>
        <v>3</v>
      </c>
      <c r="C296" s="11" t="n">
        <f aca="false">C380-B380</f>
        <v>-854</v>
      </c>
      <c r="D296" s="11" t="n">
        <f aca="false">D380-C380</f>
        <v>-8</v>
      </c>
      <c r="E296" s="11" t="n">
        <f aca="false">E380-D380</f>
        <v>-288</v>
      </c>
      <c r="F296" s="11" t="n">
        <f aca="false">F380</f>
        <v>-21</v>
      </c>
      <c r="G296" s="11" t="n">
        <f aca="false">G380-F380</f>
        <v>-1</v>
      </c>
      <c r="H296" s="11" t="n">
        <f aca="false">H380-G380</f>
        <v>-44</v>
      </c>
      <c r="I296" s="11" t="n">
        <f aca="false">I380-H380</f>
        <v>-119</v>
      </c>
      <c r="J296" s="11" t="n">
        <f aca="false">J380</f>
        <v>-4405</v>
      </c>
      <c r="K296" s="11" t="n">
        <f aca="false">K380-J380</f>
        <v>-23</v>
      </c>
    </row>
    <row r="297" customFormat="false" ht="15" hidden="false" customHeight="false" outlineLevel="0" collapsed="false">
      <c r="A297" s="9" t="s">
        <v>210</v>
      </c>
      <c r="B297" s="11" t="n">
        <f aca="false">B381</f>
        <v>-95</v>
      </c>
      <c r="C297" s="11" t="n">
        <f aca="false">C381-B381</f>
        <v>-91</v>
      </c>
      <c r="D297" s="11" t="n">
        <f aca="false">D381-C381</f>
        <v>-94</v>
      </c>
      <c r="E297" s="11" t="n">
        <f aca="false">E381-D381</f>
        <v>-96</v>
      </c>
      <c r="F297" s="11" t="n">
        <f aca="false">F381</f>
        <v>-89</v>
      </c>
      <c r="G297" s="11" t="n">
        <f aca="false">G381-F381</f>
        <v>-90</v>
      </c>
      <c r="H297" s="11" t="n">
        <f aca="false">H381-G381</f>
        <v>-89</v>
      </c>
      <c r="I297" s="11" t="n">
        <f aca="false">I381-H381</f>
        <v>-93</v>
      </c>
      <c r="J297" s="11" t="n">
        <f aca="false">J381</f>
        <v>-90</v>
      </c>
      <c r="K297" s="11" t="n">
        <f aca="false">K381-J381</f>
        <v>-606</v>
      </c>
    </row>
    <row r="298" customFormat="false" ht="15" hidden="false" customHeight="false" outlineLevel="0" collapsed="false">
      <c r="A298" s="9" t="s">
        <v>211</v>
      </c>
      <c r="B298" s="11" t="n">
        <f aca="false">B382</f>
        <v>-47</v>
      </c>
      <c r="C298" s="11" t="n">
        <f aca="false">C382-B382</f>
        <v>-74</v>
      </c>
      <c r="D298" s="11" t="n">
        <f aca="false">D382-C382</f>
        <v>-68</v>
      </c>
      <c r="E298" s="11" t="n">
        <f aca="false">E382-D382</f>
        <v>-101</v>
      </c>
      <c r="F298" s="11" t="n">
        <f aca="false">F382</f>
        <v>-44</v>
      </c>
      <c r="G298" s="11" t="n">
        <f aca="false">G382-F382</f>
        <v>-66</v>
      </c>
      <c r="H298" s="11" t="n">
        <f aca="false">H382-G382</f>
        <v>-57</v>
      </c>
      <c r="I298" s="11" t="n">
        <f aca="false">I382-H382</f>
        <v>-60</v>
      </c>
      <c r="J298" s="11" t="n">
        <f aca="false">J382</f>
        <v>-80</v>
      </c>
      <c r="K298" s="11" t="n">
        <f aca="false">K382-J382</f>
        <v>-42</v>
      </c>
    </row>
    <row r="299" customFormat="false" ht="15" hidden="false" customHeight="false" outlineLevel="0" collapsed="false">
      <c r="A299" s="9" t="s">
        <v>50</v>
      </c>
      <c r="B299" s="11" t="n">
        <f aca="false">B383</f>
        <v>10</v>
      </c>
      <c r="C299" s="11" t="n">
        <f aca="false">C383-B383</f>
        <v>323</v>
      </c>
      <c r="D299" s="11" t="n">
        <f aca="false">D383-C383</f>
        <v>-23</v>
      </c>
      <c r="E299" s="11" t="n">
        <f aca="false">E383-D383</f>
        <v>629</v>
      </c>
      <c r="F299" s="11" t="n">
        <f aca="false">F383</f>
        <v>68</v>
      </c>
      <c r="G299" s="11" t="n">
        <f aca="false">G383-F383</f>
        <v>153</v>
      </c>
      <c r="H299" s="11" t="n">
        <f aca="false">H383-G383</f>
        <v>293</v>
      </c>
      <c r="I299" s="11" t="n">
        <f aca="false">I383-H383</f>
        <v>-2565</v>
      </c>
      <c r="J299" s="11" t="n">
        <f aca="false">J383</f>
        <v>354</v>
      </c>
      <c r="K299" s="11" t="n">
        <f aca="false">K383-J383</f>
        <v>276</v>
      </c>
    </row>
    <row r="300" customFormat="false" ht="15" hidden="false" customHeight="false" outlineLevel="0" collapsed="false">
      <c r="A300" s="9" t="s">
        <v>212</v>
      </c>
      <c r="B300" s="11" t="n">
        <f aca="false">B384</f>
        <v>-58</v>
      </c>
      <c r="C300" s="11" t="n">
        <f aca="false">C384-B384</f>
        <v>-115</v>
      </c>
      <c r="D300" s="11" t="n">
        <f aca="false">D384-C384</f>
        <v>-126</v>
      </c>
      <c r="E300" s="11" t="n">
        <f aca="false">E384-D384</f>
        <v>-324</v>
      </c>
      <c r="F300" s="11" t="n">
        <f aca="false">F384</f>
        <v>-145</v>
      </c>
      <c r="G300" s="11" t="n">
        <f aca="false">G384-F384</f>
        <v>-218</v>
      </c>
      <c r="H300" s="11" t="n">
        <f aca="false">H384-G384</f>
        <v>-126</v>
      </c>
      <c r="I300" s="11" t="n">
        <f aca="false">I384-H384</f>
        <v>-341</v>
      </c>
      <c r="J300" s="11" t="n">
        <f aca="false">J384</f>
        <v>-534</v>
      </c>
      <c r="K300" s="11" t="n">
        <f aca="false">K384-J384</f>
        <v>-724</v>
      </c>
    </row>
    <row r="301" customFormat="false" ht="15" hidden="false" customHeight="false" outlineLevel="0" collapsed="false">
      <c r="A301" s="9" t="s">
        <v>213</v>
      </c>
      <c r="B301" s="11" t="n">
        <f aca="false">B385</f>
        <v>303</v>
      </c>
      <c r="C301" s="11" t="n">
        <f aca="false">C385-B385</f>
        <v>374</v>
      </c>
      <c r="D301" s="11" t="n">
        <f aca="false">D385-C385</f>
        <v>-653</v>
      </c>
      <c r="E301" s="11" t="n">
        <f aca="false">E385-D385</f>
        <v>-1321</v>
      </c>
      <c r="F301" s="11" t="n">
        <f aca="false">F385</f>
        <v>918</v>
      </c>
      <c r="G301" s="11" t="n">
        <f aca="false">G385-F385</f>
        <v>113</v>
      </c>
      <c r="H301" s="11" t="n">
        <f aca="false">H385-G385</f>
        <v>-468</v>
      </c>
      <c r="I301" s="11" t="n">
        <f aca="false">I385-H385</f>
        <v>-2491</v>
      </c>
      <c r="J301" s="11" t="n">
        <f aca="false">J385</f>
        <v>610</v>
      </c>
      <c r="K301" s="11" t="n">
        <f aca="false">K385-J385</f>
        <v>-1453</v>
      </c>
    </row>
    <row r="302" customFormat="false" ht="15" hidden="false" customHeight="false" outlineLevel="0" collapsed="false">
      <c r="A302" s="9" t="s">
        <v>214</v>
      </c>
      <c r="B302" s="11" t="n">
        <f aca="false">B386</f>
        <v>-717</v>
      </c>
      <c r="C302" s="11" t="n">
        <f aca="false">C386-B386</f>
        <v>-571</v>
      </c>
      <c r="D302" s="11" t="n">
        <f aca="false">D386-C386</f>
        <v>137</v>
      </c>
      <c r="E302" s="11" t="n">
        <f aca="false">E386-D386</f>
        <v>510</v>
      </c>
      <c r="F302" s="11" t="n">
        <f aca="false">F386</f>
        <v>-432</v>
      </c>
      <c r="G302" s="11" t="n">
        <f aca="false">G386-F386</f>
        <v>-451</v>
      </c>
      <c r="H302" s="11" t="n">
        <f aca="false">H386-G386</f>
        <v>-164</v>
      </c>
      <c r="I302" s="11" t="n">
        <f aca="false">I386-H386</f>
        <v>-386</v>
      </c>
      <c r="J302" s="11" t="n">
        <f aca="false">J386</f>
        <v>-930</v>
      </c>
      <c r="K302" s="11" t="n">
        <f aca="false">K386-J386</f>
        <v>-814</v>
      </c>
    </row>
    <row r="303" customFormat="false" ht="15" hidden="false" customHeight="false" outlineLevel="0" collapsed="false">
      <c r="A303" s="9" t="s">
        <v>215</v>
      </c>
      <c r="B303" s="11" t="n">
        <f aca="false">B387</f>
        <v>-270</v>
      </c>
      <c r="C303" s="11" t="n">
        <f aca="false">C387-B387</f>
        <v>-138</v>
      </c>
      <c r="D303" s="11" t="n">
        <f aca="false">D387-C387</f>
        <v>174</v>
      </c>
      <c r="E303" s="11" t="n">
        <f aca="false">E387-D387</f>
        <v>-175</v>
      </c>
      <c r="F303" s="11" t="n">
        <f aca="false">F387</f>
        <v>-345</v>
      </c>
      <c r="G303" s="11" t="n">
        <f aca="false">G387-F387</f>
        <v>-302</v>
      </c>
      <c r="H303" s="11" t="n">
        <f aca="false">H387-G387</f>
        <v>-9</v>
      </c>
      <c r="I303" s="11" t="n">
        <f aca="false">I387-H387</f>
        <v>200</v>
      </c>
      <c r="J303" s="11" t="n">
        <f aca="false">J387</f>
        <v>-417</v>
      </c>
      <c r="K303" s="11" t="n">
        <f aca="false">K387-J387</f>
        <v>59</v>
      </c>
    </row>
    <row r="304" customFormat="false" ht="15" hidden="false" customHeight="false" outlineLevel="0" collapsed="false">
      <c r="A304" s="9" t="s">
        <v>216</v>
      </c>
      <c r="B304" s="11" t="n">
        <f aca="false">B388</f>
        <v>-671</v>
      </c>
      <c r="C304" s="11" t="n">
        <f aca="false">C388-B388</f>
        <v>381</v>
      </c>
      <c r="D304" s="11" t="n">
        <f aca="false">D388-C388</f>
        <v>894</v>
      </c>
      <c r="E304" s="11" t="n">
        <f aca="false">E388-D388</f>
        <v>63</v>
      </c>
      <c r="F304" s="11" t="n">
        <f aca="false">F388</f>
        <v>-269</v>
      </c>
      <c r="G304" s="11" t="n">
        <f aca="false">G388-F388</f>
        <v>476</v>
      </c>
      <c r="H304" s="11" t="n">
        <f aca="false">H388-G388</f>
        <v>359</v>
      </c>
      <c r="I304" s="11" t="n">
        <f aca="false">I388-H388</f>
        <v>-671</v>
      </c>
      <c r="J304" s="11" t="n">
        <f aca="false">J388</f>
        <v>473</v>
      </c>
      <c r="K304" s="11" t="n">
        <f aca="false">K388-J388</f>
        <v>476</v>
      </c>
    </row>
    <row r="305" customFormat="false" ht="15" hidden="false" customHeight="false" outlineLevel="0" collapsed="false">
      <c r="A305" s="9" t="s">
        <v>217</v>
      </c>
      <c r="B305" s="11" t="n">
        <f aca="false">B389</f>
        <v>885</v>
      </c>
      <c r="C305" s="11" t="n">
        <f aca="false">C389-B389</f>
        <v>711</v>
      </c>
      <c r="D305" s="11" t="n">
        <f aca="false">D389-C389</f>
        <v>64</v>
      </c>
      <c r="E305" s="11" t="n">
        <f aca="false">E389-D389</f>
        <v>1139</v>
      </c>
      <c r="F305" s="11" t="n">
        <f aca="false">F389</f>
        <v>1124</v>
      </c>
      <c r="G305" s="11" t="n">
        <f aca="false">G389-F389</f>
        <v>736</v>
      </c>
      <c r="H305" s="11" t="n">
        <f aca="false">H389-G389</f>
        <v>559</v>
      </c>
      <c r="I305" s="11" t="n">
        <f aca="false">I389-H389</f>
        <v>5600</v>
      </c>
      <c r="J305" s="11" t="n">
        <f aca="false">J389</f>
        <v>5574</v>
      </c>
      <c r="K305" s="11" t="n">
        <f aca="false">K389-J389</f>
        <v>8121</v>
      </c>
    </row>
    <row r="306" customFormat="false" ht="15" hidden="false" customHeight="false" outlineLevel="0" collapsed="false">
      <c r="A306" s="9" t="s">
        <v>218</v>
      </c>
      <c r="B306" s="11" t="n">
        <f aca="false">B390</f>
        <v>68</v>
      </c>
      <c r="C306" s="11" t="n">
        <f aca="false">C390-B390</f>
        <v>-498</v>
      </c>
      <c r="D306" s="11" t="n">
        <f aca="false">D390-C390</f>
        <v>528</v>
      </c>
      <c r="E306" s="11" t="n">
        <f aca="false">E390-D390</f>
        <v>131</v>
      </c>
      <c r="F306" s="11" t="n">
        <f aca="false">F390</f>
        <v>-74</v>
      </c>
      <c r="G306" s="11" t="n">
        <f aca="false">G390-F390</f>
        <v>-680</v>
      </c>
      <c r="H306" s="11" t="n">
        <f aca="false">H390-G390</f>
        <v>61</v>
      </c>
      <c r="I306" s="11" t="n">
        <f aca="false">I390-H390</f>
        <v>-494</v>
      </c>
      <c r="J306" s="11" t="n">
        <f aca="false">J390</f>
        <v>-457</v>
      </c>
      <c r="K306" s="11" t="n">
        <f aca="false">K390-J390</f>
        <v>-845</v>
      </c>
    </row>
    <row r="307" customFormat="false" ht="15" hidden="false" customHeight="false" outlineLevel="0" collapsed="false">
      <c r="A307" s="12" t="s">
        <v>219</v>
      </c>
      <c r="B307" s="14" t="n">
        <f aca="false">B391</f>
        <v>-444</v>
      </c>
      <c r="C307" s="14" t="n">
        <f aca="false">C391-B391</f>
        <v>979</v>
      </c>
      <c r="D307" s="14" t="n">
        <f aca="false">D391-C391</f>
        <v>1127</v>
      </c>
      <c r="E307" s="14" t="n">
        <f aca="false">E391-D391</f>
        <v>921</v>
      </c>
      <c r="F307" s="14" t="n">
        <f aca="false">F391</f>
        <v>1161</v>
      </c>
      <c r="G307" s="14" t="n">
        <f aca="false">G391-F391</f>
        <v>367</v>
      </c>
      <c r="H307" s="14" t="n">
        <f aca="false">H391-G391</f>
        <v>980</v>
      </c>
      <c r="I307" s="14" t="n">
        <f aca="false">I391-H391</f>
        <v>2479</v>
      </c>
      <c r="J307" s="14" t="n">
        <f aca="false">J391</f>
        <v>5188</v>
      </c>
      <c r="K307" s="14" t="n">
        <f aca="false">K391-J391</f>
        <v>5492</v>
      </c>
    </row>
    <row r="308" customFormat="false" ht="15" hidden="false" customHeight="false" outlineLevel="0" collapsed="false">
      <c r="A308" s="9" t="s">
        <v>220</v>
      </c>
      <c r="B308" s="11" t="n">
        <f aca="false">B392</f>
        <v>-217</v>
      </c>
      <c r="C308" s="11" t="n">
        <f aca="false">C392-B392</f>
        <v>-157</v>
      </c>
      <c r="D308" s="11" t="n">
        <f aca="false">D392-C392</f>
        <v>-159</v>
      </c>
      <c r="E308" s="11" t="n">
        <f aca="false">E392-D392</f>
        <v>-350</v>
      </c>
      <c r="F308" s="11" t="n">
        <f aca="false">F392</f>
        <v>-186</v>
      </c>
      <c r="G308" s="11" t="n">
        <f aca="false">G392-F392</f>
        <v>-173</v>
      </c>
      <c r="H308" s="11" t="n">
        <f aca="false">H392-G392</f>
        <v>-247</v>
      </c>
      <c r="I308" s="11" t="n">
        <f aca="false">I392-H392</f>
        <v>-671</v>
      </c>
      <c r="J308" s="11" t="n">
        <f aca="false">J392</f>
        <v>-397</v>
      </c>
      <c r="K308" s="11" t="n">
        <f aca="false">K392-J392</f>
        <v>-386</v>
      </c>
    </row>
    <row r="309" customFormat="false" ht="15" hidden="false" customHeight="false" outlineLevel="0" collapsed="false">
      <c r="A309" s="9" t="s">
        <v>221</v>
      </c>
      <c r="B309" s="11" t="n">
        <f aca="false">B393</f>
        <v>4</v>
      </c>
      <c r="C309" s="11" t="n">
        <f aca="false">C393-B393</f>
        <v>9</v>
      </c>
      <c r="D309" s="11" t="n">
        <f aca="false">D393-C393</f>
        <v>3</v>
      </c>
      <c r="E309" s="11" t="n">
        <f aca="false">E393-D393</f>
        <v>9</v>
      </c>
      <c r="F309" s="11" t="n">
        <f aca="false">F393</f>
        <v>34</v>
      </c>
      <c r="G309" s="11" t="n">
        <f aca="false">G393-F393</f>
        <v>0</v>
      </c>
      <c r="H309" s="11" t="n">
        <f aca="false">H393-G393</f>
        <v>-1</v>
      </c>
      <c r="I309" s="11" t="n">
        <f aca="false">I393-H393</f>
        <v>6</v>
      </c>
      <c r="J309" s="11" t="n">
        <f aca="false">J393</f>
        <v>177</v>
      </c>
      <c r="K309" s="11" t="n">
        <f aca="false">K393-J393</f>
        <v>24</v>
      </c>
    </row>
    <row r="310" customFormat="false" ht="15" hidden="false" customHeight="false" outlineLevel="0" collapsed="false">
      <c r="A310" s="9" t="s">
        <v>222</v>
      </c>
      <c r="B310" s="11" t="n">
        <f aca="false">B394</f>
        <v>-91</v>
      </c>
      <c r="C310" s="11" t="n">
        <f aca="false">C394-B394</f>
        <v>-17</v>
      </c>
      <c r="D310" s="11" t="n">
        <f aca="false">D394-C394</f>
        <v>-2</v>
      </c>
      <c r="E310" s="11" t="n">
        <f aca="false">E394-D394</f>
        <v>-4</v>
      </c>
      <c r="F310" s="11" t="n">
        <f aca="false">F394</f>
        <v>-6</v>
      </c>
      <c r="G310" s="11" t="n">
        <f aca="false">G394-F394</f>
        <v>-24</v>
      </c>
      <c r="H310" s="11" t="n">
        <f aca="false">H394-G394</f>
        <v>-27</v>
      </c>
      <c r="I310" s="11" t="n">
        <f aca="false">I394-H394</f>
        <v>-30</v>
      </c>
      <c r="J310" s="11" t="n">
        <f aca="false">J394</f>
        <v>-10</v>
      </c>
      <c r="K310" s="11" t="n">
        <f aca="false">K394-J394</f>
        <v>-10</v>
      </c>
    </row>
    <row r="311" customFormat="false" ht="15" hidden="false" customHeight="false" outlineLevel="0" collapsed="false">
      <c r="A311" s="9" t="s">
        <v>223</v>
      </c>
      <c r="B311" s="11" t="n">
        <f aca="false">B395</f>
        <v>29</v>
      </c>
      <c r="C311" s="11" t="n">
        <f aca="false">C395-B395</f>
        <v>2</v>
      </c>
      <c r="D311" s="11" t="n">
        <f aca="false">D395-C395</f>
        <v>1</v>
      </c>
      <c r="E311" s="11" t="n">
        <f aca="false">E395-D395</f>
        <v>212</v>
      </c>
      <c r="F311" s="11" t="n">
        <f aca="false">F395</f>
        <v>90</v>
      </c>
      <c r="G311" s="11" t="n">
        <f aca="false">G395-F395</f>
        <v>1</v>
      </c>
      <c r="H311" s="11" t="n">
        <f aca="false">H395-G395</f>
        <v>157</v>
      </c>
      <c r="I311" s="11" t="n">
        <f aca="false">I395-H395</f>
        <v>216</v>
      </c>
      <c r="J311" s="11" t="n">
        <f aca="false">J395</f>
        <v>44</v>
      </c>
      <c r="K311" s="11" t="n">
        <f aca="false">K395-J395</f>
        <v>34</v>
      </c>
    </row>
    <row r="312" customFormat="false" ht="15" hidden="false" customHeight="false" outlineLevel="0" collapsed="false">
      <c r="A312" s="9" t="s">
        <v>224</v>
      </c>
      <c r="B312" s="11" t="n">
        <f aca="false">B396</f>
        <v>0</v>
      </c>
      <c r="C312" s="11" t="n">
        <f aca="false">C396-B396</f>
        <v>639</v>
      </c>
      <c r="D312" s="11" t="n">
        <f aca="false">D396-C396</f>
        <v>0</v>
      </c>
      <c r="E312" s="11" t="n">
        <f aca="false">E396-D396</f>
        <v>174</v>
      </c>
      <c r="F312" s="11" t="n">
        <f aca="false">F396</f>
        <v>0</v>
      </c>
      <c r="G312" s="11" t="n">
        <f aca="false">G396-F396</f>
        <v>1</v>
      </c>
      <c r="H312" s="11" t="n">
        <f aca="false">H396-G396</f>
        <v>59</v>
      </c>
      <c r="I312" s="11" t="n">
        <f aca="false">I396-H396</f>
        <v>0</v>
      </c>
      <c r="J312" s="11" t="n">
        <f aca="false">J396</f>
        <v>598</v>
      </c>
      <c r="K312" s="11" t="n">
        <f aca="false">K396-J396</f>
        <v>-4</v>
      </c>
    </row>
    <row r="313" customFormat="false" ht="15" hidden="false" customHeight="false" outlineLevel="0" collapsed="false">
      <c r="A313" s="9" t="s">
        <v>225</v>
      </c>
      <c r="B313" s="11" t="n">
        <f aca="false">B397</f>
        <v>-9</v>
      </c>
      <c r="C313" s="11" t="n">
        <f aca="false">C397-B397</f>
        <v>60</v>
      </c>
      <c r="D313" s="11" t="n">
        <f aca="false">D397-C397</f>
        <v>43</v>
      </c>
      <c r="E313" s="11" t="n">
        <f aca="false">E397-D397</f>
        <v>-216</v>
      </c>
      <c r="F313" s="11" t="n">
        <f aca="false">F397</f>
        <v>-25</v>
      </c>
      <c r="G313" s="11" t="n">
        <f aca="false">G397-F397</f>
        <v>74</v>
      </c>
      <c r="H313" s="11" t="n">
        <f aca="false">H397-G397</f>
        <v>-107</v>
      </c>
      <c r="I313" s="11" t="n">
        <f aca="false">I397-H397</f>
        <v>105</v>
      </c>
      <c r="J313" s="11" t="n">
        <f aca="false">J397</f>
        <v>-4703</v>
      </c>
      <c r="K313" s="11" t="n">
        <f aca="false">K397-J397</f>
        <v>571</v>
      </c>
    </row>
    <row r="314" customFormat="false" ht="15" hidden="false" customHeight="false" outlineLevel="0" collapsed="false">
      <c r="A314" s="12" t="s">
        <v>226</v>
      </c>
      <c r="B314" s="14" t="n">
        <f aca="false">B398</f>
        <v>-285</v>
      </c>
      <c r="C314" s="14" t="n">
        <f aca="false">C398-B398</f>
        <v>537</v>
      </c>
      <c r="D314" s="14" t="n">
        <f aca="false">D398-C398</f>
        <v>-114</v>
      </c>
      <c r="E314" s="14" t="n">
        <f aca="false">E398-D398</f>
        <v>-175</v>
      </c>
      <c r="F314" s="14" t="n">
        <f aca="false">F398</f>
        <v>-93</v>
      </c>
      <c r="G314" s="14" t="n">
        <f aca="false">G398-F398</f>
        <v>-121</v>
      </c>
      <c r="H314" s="14" t="n">
        <f aca="false">H398-G398</f>
        <v>-167</v>
      </c>
      <c r="I314" s="14" t="n">
        <f aca="false">I398-H398</f>
        <v>-374</v>
      </c>
      <c r="J314" s="14" t="n">
        <f aca="false">J398</f>
        <v>-4291</v>
      </c>
      <c r="K314" s="14" t="n">
        <f aca="false">K398-J398</f>
        <v>229</v>
      </c>
    </row>
    <row r="315" customFormat="false" ht="15" hidden="false" customHeight="false" outlineLevel="0" collapsed="false">
      <c r="A315" s="9" t="s">
        <v>227</v>
      </c>
      <c r="B315" s="11" t="n">
        <f aca="false">B399</f>
        <v>0</v>
      </c>
      <c r="C315" s="11" t="n">
        <f aca="false">C399-B399</f>
        <v>0</v>
      </c>
      <c r="D315" s="11" t="n">
        <f aca="false">D399-C399</f>
        <v>0</v>
      </c>
      <c r="E315" s="11" t="n">
        <f aca="false">E399-D399</f>
        <v>0</v>
      </c>
      <c r="F315" s="11" t="n">
        <f aca="false">F399</f>
        <v>0</v>
      </c>
      <c r="G315" s="11" t="n">
        <f aca="false">G399-F399</f>
        <v>0</v>
      </c>
      <c r="H315" s="11" t="n">
        <f aca="false">H399-G399</f>
        <v>0</v>
      </c>
      <c r="I315" s="11" t="n">
        <f aca="false">I399-H399</f>
        <v>0</v>
      </c>
      <c r="J315" s="11" t="n">
        <f aca="false">J399</f>
        <v>2567</v>
      </c>
      <c r="K315" s="11" t="n">
        <f aca="false">K399-J399</f>
        <v>0</v>
      </c>
    </row>
    <row r="316" customFormat="false" ht="15" hidden="false" customHeight="false" outlineLevel="0" collapsed="false">
      <c r="A316" s="9" t="s">
        <v>228</v>
      </c>
      <c r="B316" s="11" t="n">
        <f aca="false">B400</f>
        <v>-23</v>
      </c>
      <c r="C316" s="11" t="n">
        <f aca="false">C400-B400</f>
        <v>0</v>
      </c>
      <c r="D316" s="11" t="n">
        <f aca="false">D400-C400</f>
        <v>0</v>
      </c>
      <c r="E316" s="11" t="n">
        <f aca="false">E400-D400</f>
        <v>0</v>
      </c>
      <c r="F316" s="11" t="n">
        <f aca="false">F400</f>
        <v>0</v>
      </c>
      <c r="G316" s="11" t="n">
        <f aca="false">G400-F400</f>
        <v>0</v>
      </c>
      <c r="H316" s="11" t="n">
        <f aca="false">H400-G400</f>
        <v>0</v>
      </c>
      <c r="I316" s="11" t="n">
        <f aca="false">I400-H400</f>
        <v>0</v>
      </c>
      <c r="J316" s="11" t="n">
        <f aca="false">J400</f>
        <v>0</v>
      </c>
      <c r="K316" s="11" t="n">
        <f aca="false">K400-J400</f>
        <v>0</v>
      </c>
    </row>
    <row r="317" customFormat="false" ht="15" hidden="false" customHeight="false" outlineLevel="0" collapsed="false">
      <c r="A317" s="9" t="s">
        <v>229</v>
      </c>
      <c r="B317" s="11" t="n">
        <f aca="false">B401</f>
        <v>2023</v>
      </c>
      <c r="C317" s="11" t="n">
        <f aca="false">C401-B401</f>
        <v>941</v>
      </c>
      <c r="D317" s="11" t="n">
        <f aca="false">D401-C401</f>
        <v>-31</v>
      </c>
      <c r="E317" s="11" t="n">
        <f aca="false">E401-D401</f>
        <v>0</v>
      </c>
      <c r="F317" s="11" t="n">
        <f aca="false">F401</f>
        <v>0</v>
      </c>
      <c r="G317" s="11" t="n">
        <f aca="false">G401-F401</f>
        <v>0</v>
      </c>
      <c r="H317" s="11" t="n">
        <f aca="false">H401-G401</f>
        <v>0</v>
      </c>
      <c r="I317" s="11" t="n">
        <f aca="false">I401-H401</f>
        <v>0</v>
      </c>
      <c r="J317" s="11" t="n">
        <f aca="false">J401</f>
        <v>0</v>
      </c>
      <c r="K317" s="11" t="n">
        <f aca="false">K401-J401</f>
        <v>0</v>
      </c>
    </row>
    <row r="318" customFormat="false" ht="15" hidden="false" customHeight="false" outlineLevel="0" collapsed="false">
      <c r="A318" s="9" t="s">
        <v>230</v>
      </c>
      <c r="B318" s="11" t="n">
        <f aca="false">B402</f>
        <v>0</v>
      </c>
      <c r="C318" s="11" t="n">
        <f aca="false">C402-B402</f>
        <v>0</v>
      </c>
      <c r="D318" s="11" t="n">
        <f aca="false">D402-C402</f>
        <v>0</v>
      </c>
      <c r="E318" s="11" t="n">
        <f aca="false">E402-D402</f>
        <v>0</v>
      </c>
      <c r="F318" s="11" t="n">
        <f aca="false">F402</f>
        <v>-69</v>
      </c>
      <c r="G318" s="11" t="n">
        <f aca="false">G402-F402</f>
        <v>-70</v>
      </c>
      <c r="H318" s="11" t="n">
        <f aca="false">H402-G402</f>
        <v>-68</v>
      </c>
      <c r="I318" s="11" t="n">
        <f aca="false">I402-H402</f>
        <v>-68</v>
      </c>
      <c r="J318" s="11" t="n">
        <f aca="false">J402</f>
        <v>-137</v>
      </c>
      <c r="K318" s="11" t="n">
        <f aca="false">K402-J402</f>
        <v>-136</v>
      </c>
    </row>
    <row r="319" customFormat="false" ht="15" hidden="false" customHeight="false" outlineLevel="0" collapsed="false">
      <c r="A319" s="9" t="s">
        <v>231</v>
      </c>
      <c r="B319" s="11" t="n">
        <f aca="false">B403</f>
        <v>0</v>
      </c>
      <c r="C319" s="11" t="n">
        <f aca="false">C403-B403</f>
        <v>0</v>
      </c>
      <c r="D319" s="11" t="n">
        <f aca="false">D403-C403</f>
        <v>-40</v>
      </c>
      <c r="E319" s="11" t="n">
        <f aca="false">E403-D403</f>
        <v>-3</v>
      </c>
      <c r="F319" s="11" t="n">
        <f aca="false">F403</f>
        <v>-1101</v>
      </c>
      <c r="G319" s="11" t="n">
        <f aca="false">G403-F403</f>
        <v>-480</v>
      </c>
      <c r="H319" s="11" t="n">
        <f aca="false">H403-G403</f>
        <v>-660</v>
      </c>
      <c r="I319" s="11" t="n">
        <f aca="false">I403-H403</f>
        <v>-1075</v>
      </c>
      <c r="J319" s="11" t="n">
        <f aca="false">J403</f>
        <v>-1278</v>
      </c>
      <c r="K319" s="11" t="n">
        <f aca="false">K403-J403</f>
        <v>-2393</v>
      </c>
    </row>
    <row r="320" customFormat="false" ht="15" hidden="false" customHeight="false" outlineLevel="0" collapsed="false">
      <c r="A320" s="9" t="s">
        <v>232</v>
      </c>
      <c r="B320" s="11" t="n">
        <f aca="false">B404</f>
        <v>-66</v>
      </c>
      <c r="C320" s="11" t="n">
        <f aca="false">C404-B404</f>
        <v>30</v>
      </c>
      <c r="D320" s="11" t="n">
        <f aca="false">D404-C404</f>
        <v>656</v>
      </c>
      <c r="E320" s="11" t="n">
        <f aca="false">E404-D404</f>
        <v>165</v>
      </c>
      <c r="F320" s="11" t="n">
        <f aca="false">F404</f>
        <v>-86</v>
      </c>
      <c r="G320" s="11" t="n">
        <f aca="false">G404-F404</f>
        <v>-56</v>
      </c>
      <c r="H320" s="11" t="n">
        <f aca="false">H404-G404</f>
        <v>-45</v>
      </c>
      <c r="I320" s="11" t="n">
        <f aca="false">I404-H404</f>
        <v>-34</v>
      </c>
      <c r="J320" s="11" t="n">
        <f aca="false">J404</f>
        <v>-711</v>
      </c>
      <c r="K320" s="11" t="n">
        <f aca="false">K404-J404</f>
        <v>-214</v>
      </c>
    </row>
    <row r="321" customFormat="false" ht="15" hidden="false" customHeight="false" outlineLevel="0" collapsed="false">
      <c r="A321" s="12" t="s">
        <v>233</v>
      </c>
      <c r="B321" s="14" t="n">
        <f aca="false">B405</f>
        <v>1934</v>
      </c>
      <c r="C321" s="14" t="n">
        <f aca="false">C405-B405</f>
        <v>970</v>
      </c>
      <c r="D321" s="14" t="n">
        <f aca="false">D405-C405</f>
        <v>585</v>
      </c>
      <c r="E321" s="14" t="n">
        <f aca="false">E405-D405</f>
        <v>163</v>
      </c>
      <c r="F321" s="14" t="n">
        <f aca="false">F405</f>
        <v>-1257</v>
      </c>
      <c r="G321" s="14" t="n">
        <f aca="false">G405-F405</f>
        <v>-604</v>
      </c>
      <c r="H321" s="14" t="n">
        <f aca="false">H405-G405</f>
        <v>-774</v>
      </c>
      <c r="I321" s="14" t="n">
        <f aca="false">I405-H405</f>
        <v>-1178</v>
      </c>
      <c r="J321" s="14" t="n">
        <f aca="false">J405</f>
        <v>442</v>
      </c>
      <c r="K321" s="14" t="n">
        <f aca="false">K405-J405</f>
        <v>-2743</v>
      </c>
    </row>
    <row r="322" customFormat="false" ht="15" hidden="false" customHeight="false" outlineLevel="0" collapsed="false">
      <c r="A322" s="9" t="s">
        <v>234</v>
      </c>
      <c r="B322" s="11" t="n">
        <f aca="false">B406</f>
        <v>-32</v>
      </c>
      <c r="C322" s="11" t="n">
        <f aca="false">C406-B406</f>
        <v>-34</v>
      </c>
      <c r="D322" s="11" t="n">
        <f aca="false">D406-C406</f>
        <v>18</v>
      </c>
      <c r="E322" s="11" t="n">
        <f aca="false">E406-D406</f>
        <v>-99</v>
      </c>
      <c r="F322" s="11" t="n">
        <f aca="false">F406</f>
        <v>90</v>
      </c>
      <c r="G322" s="11" t="n">
        <f aca="false">G406-F406</f>
        <v>145</v>
      </c>
      <c r="H322" s="11" t="n">
        <f aca="false">H406-G406</f>
        <v>15</v>
      </c>
      <c r="I322" s="11" t="n">
        <f aca="false">I406-H406</f>
        <v>-26</v>
      </c>
      <c r="J322" s="11" t="n">
        <f aca="false">J406</f>
        <v>-16</v>
      </c>
      <c r="K322" s="11" t="n">
        <f aca="false">K406-J406</f>
        <v>-30</v>
      </c>
    </row>
    <row r="323" customFormat="false" ht="15" hidden="false" customHeight="false" outlineLevel="0" collapsed="false">
      <c r="A323" s="12" t="s">
        <v>235</v>
      </c>
      <c r="B323" s="14" t="n">
        <f aca="false">B407</f>
        <v>1704</v>
      </c>
      <c r="C323" s="14" t="n">
        <f aca="false">C407-B407</f>
        <v>2524</v>
      </c>
      <c r="D323" s="14" t="n">
        <f aca="false">D407-C407</f>
        <v>1616</v>
      </c>
      <c r="E323" s="14" t="n">
        <f aca="false">E407-D407</f>
        <v>810</v>
      </c>
      <c r="F323" s="14" t="n">
        <f aca="false">F407</f>
        <v>-98</v>
      </c>
      <c r="G323" s="14" t="n">
        <f aca="false">G407-F407</f>
        <v>-214</v>
      </c>
      <c r="H323" s="14" t="n">
        <f aca="false">H407-G407</f>
        <v>53</v>
      </c>
      <c r="I323" s="14" t="n">
        <f aca="false">I407-H407</f>
        <v>902</v>
      </c>
      <c r="J323" s="14" t="n">
        <f aca="false">J407</f>
        <v>1324</v>
      </c>
      <c r="K323" s="14" t="n">
        <f aca="false">K407-J407</f>
        <v>2949</v>
      </c>
    </row>
    <row r="325" customFormat="false" ht="15" hidden="false" customHeight="false" outlineLevel="0" collapsed="false">
      <c r="A325" s="12" t="s">
        <v>236</v>
      </c>
      <c r="B325" s="14" t="n">
        <f aca="false">B307+B308</f>
        <v>-661</v>
      </c>
      <c r="C325" s="14" t="n">
        <f aca="false">C307+C308</f>
        <v>822</v>
      </c>
      <c r="D325" s="14" t="n">
        <f aca="false">D307+D308</f>
        <v>968</v>
      </c>
      <c r="E325" s="14" t="n">
        <f aca="false">E307+E308</f>
        <v>571</v>
      </c>
      <c r="F325" s="14" t="n">
        <f aca="false">F307+F308</f>
        <v>975</v>
      </c>
      <c r="G325" s="14" t="n">
        <f aca="false">G307+G308</f>
        <v>194</v>
      </c>
      <c r="H325" s="14" t="n">
        <f aca="false">H307+H308</f>
        <v>733</v>
      </c>
      <c r="I325" s="14" t="n">
        <f aca="false">I307+I308</f>
        <v>1808</v>
      </c>
      <c r="J325" s="14" t="n">
        <f aca="false">J307+J308</f>
        <v>4791</v>
      </c>
      <c r="K325" s="14" t="n">
        <f aca="false">K307+K308</f>
        <v>5106</v>
      </c>
    </row>
    <row r="326" customFormat="false" ht="15" hidden="false" customHeight="false" outlineLevel="0" collapsed="false">
      <c r="A326" s="9" t="s">
        <v>237</v>
      </c>
      <c r="B326" s="18" t="n">
        <f aca="false">IF(B12&lt;&gt;0,B325/B12,"")</f>
        <v>-0.0910468319559229</v>
      </c>
      <c r="C326" s="18" t="n">
        <f aca="false">IF(C12&lt;&gt;0,C325/C12,"")</f>
        <v>0.100195026816187</v>
      </c>
      <c r="D326" s="18" t="n">
        <f aca="false">IF(D12&lt;&gt;0,D325/D12,"")</f>
        <v>0.108605407831258</v>
      </c>
      <c r="E326" s="18" t="n">
        <f aca="false">IF(E12&lt;&gt;0,E325/E12,"")</f>
        <v>0.0540822125402538</v>
      </c>
      <c r="F326" s="18" t="n">
        <f aca="false">IF(F12&lt;&gt;0,F325/F12,"")</f>
        <v>0.121389442231076</v>
      </c>
      <c r="G326" s="18" t="n">
        <f aca="false">IF(G12&lt;&gt;0,G325/G12,"")</f>
        <v>0.0212929425968609</v>
      </c>
      <c r="H326" s="18" t="n">
        <f aca="false">IF(H12&lt;&gt;0,H325/H12,"")</f>
        <v>0.0735279366034708</v>
      </c>
      <c r="I326" s="18" t="n">
        <f aca="false">IF(I12&lt;&gt;0,I325/I12,"")</f>
        <v>0.165023731288792</v>
      </c>
      <c r="J326" s="18" t="n">
        <f aca="false">IF(J12&lt;&gt;0,J325/J12,"")</f>
        <v>0.51300995823964</v>
      </c>
      <c r="K326" s="18" t="n">
        <f aca="false">IF(K12&lt;&gt;0,K325/K12,"")</f>
        <v>0.459834293948127</v>
      </c>
    </row>
    <row r="327" customFormat="false" ht="15" hidden="false" customHeight="false" outlineLevel="0" collapsed="false">
      <c r="A327" s="9" t="s">
        <v>238</v>
      </c>
      <c r="B327" s="18" t="str">
        <f aca="false">IF(AND(ISNUMBER(B26),B26&gt;0),B325/B26,"")</f>
        <v/>
      </c>
      <c r="C327" s="18" t="n">
        <f aca="false">IF(AND(ISNUMBER(C26),C26&gt;0),C325/C26,"")</f>
        <v>0.635239567233385</v>
      </c>
      <c r="D327" s="18" t="str">
        <f aca="false">IF(AND(ISNUMBER(D26),D26&gt;0),D325/D26,"")</f>
        <v/>
      </c>
      <c r="E327" s="18" t="n">
        <f aca="false">IF(AND(ISNUMBER(E26),E26&gt;0),E325/E26,"")</f>
        <v>1.1797520661157</v>
      </c>
      <c r="F327" s="18" t="n">
        <f aca="false">IF(AND(ISNUMBER(F26),F26&gt;0),F325/F26,"")</f>
        <v>3.83858267716535</v>
      </c>
      <c r="G327" s="18" t="n">
        <f aca="false">IF(AND(ISNUMBER(G26),G26&gt;0),G325/G26,"")</f>
        <v>0.377431906614786</v>
      </c>
      <c r="H327" s="18" t="n">
        <f aca="false">IF(AND(ISNUMBER(H26),H26&gt;0),H325/H26,"")</f>
        <v>1.6216814159292</v>
      </c>
      <c r="I327" s="18" t="n">
        <f aca="false">IF(AND(ISNUMBER(I26),I26&gt;0),I325/I26,"")</f>
        <v>0.493449781659389</v>
      </c>
      <c r="J327" s="18" t="n">
        <f aca="false">IF(AND(ISNUMBER(J26),J26&gt;0),J325/J26,"")</f>
        <v>1.00969441517387</v>
      </c>
      <c r="K327" s="18" t="n">
        <f aca="false">IF(AND(ISNUMBER(K26),K26&gt;0),K325/K26,"")</f>
        <v>7.6437125748503</v>
      </c>
    </row>
    <row r="328" customFormat="false" ht="15" hidden="false" customHeight="false" outlineLevel="0" collapsed="false">
      <c r="A328" s="9" t="s">
        <v>239</v>
      </c>
      <c r="B328" s="18" t="n">
        <f aca="false">IF(B57&gt;0,B325/B57,"")</f>
        <v>-3.4973544973545</v>
      </c>
      <c r="C328" s="18" t="n">
        <f aca="false">IF(C57&gt;0,C325/C57,"")</f>
        <v>1.56870229007634</v>
      </c>
      <c r="D328" s="18" t="n">
        <f aca="false">IF(D57&gt;0,D325/D57,"")</f>
        <v>3.98353909465021</v>
      </c>
      <c r="E328" s="18" t="n">
        <f aca="false">IF(E57&gt;0,E325/E57,"")</f>
        <v>0.529193697868397</v>
      </c>
      <c r="F328" s="18" t="n">
        <f aca="false">IF(F57&gt;0,F325/F57,"")</f>
        <v>2.13347921225383</v>
      </c>
      <c r="G328" s="18" t="n">
        <f aca="false">IF(G57&gt;0,G325/G57,"")</f>
        <v>0.251948051948052</v>
      </c>
      <c r="H328" s="18" t="n">
        <f aca="false">IF(H57&gt;0,H325/H57,"")</f>
        <v>0.903822441430333</v>
      </c>
      <c r="I328" s="18" t="n">
        <f aca="false">IF(I57&gt;0,I325/I57,"")</f>
        <v>1.56131260794473</v>
      </c>
      <c r="J328" s="18" t="n">
        <f aca="false">IF(J57&gt;0,J325/J57,"")</f>
        <v>5.34709821428571</v>
      </c>
      <c r="K328" s="18" t="n">
        <f aca="false">IF(K57&gt;0,K325/K57,"")</f>
        <v>4.0848</v>
      </c>
    </row>
    <row r="329" customFormat="false" ht="15" hidden="false" customHeight="false" outlineLevel="0" collapsed="false">
      <c r="A329" s="9" t="s">
        <v>240</v>
      </c>
      <c r="B329" s="11" t="n">
        <f aca="false">-(B318+B319)</f>
        <v>-0</v>
      </c>
      <c r="C329" s="11" t="n">
        <f aca="false">-(C318+C319)</f>
        <v>-0</v>
      </c>
      <c r="D329" s="11" t="n">
        <f aca="false">-(D318+D319)</f>
        <v>40</v>
      </c>
      <c r="E329" s="11" t="n">
        <f aca="false">-(E318+E319)</f>
        <v>3</v>
      </c>
      <c r="F329" s="11" t="n">
        <f aca="false">-(F318+F319)</f>
        <v>1170</v>
      </c>
      <c r="G329" s="11" t="n">
        <f aca="false">-(G318+G319)</f>
        <v>550</v>
      </c>
      <c r="H329" s="11" t="n">
        <f aca="false">-(H318+H319)</f>
        <v>728</v>
      </c>
      <c r="I329" s="11" t="n">
        <f aca="false">-(I318+I319)</f>
        <v>1143</v>
      </c>
      <c r="J329" s="11" t="n">
        <f aca="false">-(J318+J319)</f>
        <v>1415</v>
      </c>
      <c r="K329" s="11" t="n">
        <f aca="false">-(K318+K319)</f>
        <v>2529</v>
      </c>
    </row>
    <row r="331" customFormat="false" ht="15" hidden="false" customHeight="false" outlineLevel="0" collapsed="false">
      <c r="A331" s="8" t="s">
        <v>241</v>
      </c>
      <c r="B331" s="8"/>
      <c r="C331" s="8"/>
      <c r="D331" s="8"/>
      <c r="E331" s="8"/>
      <c r="F331" s="8"/>
      <c r="G331" s="8"/>
      <c r="H331" s="8"/>
      <c r="I331" s="8"/>
      <c r="J331" s="8"/>
      <c r="K331" s="8"/>
    </row>
    <row r="332" customFormat="false" ht="15" hidden="false" customHeight="false" outlineLevel="0" collapsed="false">
      <c r="A332" s="2" t="s">
        <v>242</v>
      </c>
      <c r="B332" s="7" t="s">
        <v>243</v>
      </c>
      <c r="C332" s="7" t="s">
        <v>244</v>
      </c>
      <c r="D332" s="7" t="s">
        <v>245</v>
      </c>
      <c r="E332" s="7" t="s">
        <v>29</v>
      </c>
      <c r="F332" s="7" t="s">
        <v>29</v>
      </c>
      <c r="G332" s="7" t="s">
        <v>30</v>
      </c>
      <c r="H332" s="7" t="s">
        <v>31</v>
      </c>
      <c r="I332" s="7" t="s">
        <v>33</v>
      </c>
      <c r="J332" s="7" t="s">
        <v>33</v>
      </c>
      <c r="K332" s="7" t="s">
        <v>34</v>
      </c>
    </row>
    <row r="333" customFormat="false" ht="15" hidden="false" customHeight="false" outlineLevel="0" collapsed="false">
      <c r="A333" s="9" t="s">
        <v>246</v>
      </c>
      <c r="B333" s="10" t="n">
        <v>3255</v>
      </c>
      <c r="C333" s="10" t="n">
        <v>5779</v>
      </c>
      <c r="D333" s="10" t="n">
        <v>7395</v>
      </c>
      <c r="E333" s="10" t="n">
        <v>8205</v>
      </c>
      <c r="F333" s="10" t="n">
        <v>8107</v>
      </c>
      <c r="G333" s="10" t="n">
        <v>7892</v>
      </c>
      <c r="H333" s="10" t="n">
        <v>7945</v>
      </c>
      <c r="I333" s="10" t="n">
        <v>8848</v>
      </c>
      <c r="J333" s="10" t="n">
        <v>10172</v>
      </c>
      <c r="K333" s="10" t="n">
        <v>13120</v>
      </c>
    </row>
    <row r="334" customFormat="false" ht="15" hidden="false" customHeight="false" outlineLevel="0" collapsed="false">
      <c r="A334" s="9" t="s">
        <v>247</v>
      </c>
      <c r="B334" s="10" t="n">
        <v>7096</v>
      </c>
      <c r="C334" s="10" t="n">
        <v>6431</v>
      </c>
      <c r="D334" s="10" t="n">
        <v>7226</v>
      </c>
      <c r="E334" s="10" t="n">
        <v>8177</v>
      </c>
      <c r="F334" s="10" t="n">
        <v>7136</v>
      </c>
      <c r="G334" s="10" t="n">
        <v>6948</v>
      </c>
      <c r="H334" s="10" t="n">
        <v>7374</v>
      </c>
      <c r="I334" s="10" t="n">
        <v>9803</v>
      </c>
      <c r="J334" s="10" t="n">
        <v>9568</v>
      </c>
      <c r="K334" s="10" t="n">
        <v>11099</v>
      </c>
    </row>
    <row r="335" customFormat="false" ht="15" hidden="false" customHeight="false" outlineLevel="0" collapsed="false">
      <c r="A335" s="9" t="s">
        <v>248</v>
      </c>
      <c r="B335" s="10" t="n">
        <v>8859</v>
      </c>
      <c r="C335" s="10" t="n">
        <v>9346</v>
      </c>
      <c r="D335" s="10" t="n">
        <v>9377</v>
      </c>
      <c r="E335" s="10" t="n">
        <v>8587</v>
      </c>
      <c r="F335" s="10" t="n">
        <v>9156</v>
      </c>
      <c r="G335" s="10" t="n">
        <v>9825</v>
      </c>
      <c r="H335" s="10" t="n">
        <v>10032</v>
      </c>
      <c r="I335" s="10" t="n">
        <v>10429</v>
      </c>
      <c r="J335" s="10" t="n">
        <v>11919</v>
      </c>
      <c r="K335" s="10" t="n">
        <v>12692</v>
      </c>
    </row>
    <row r="336" customFormat="false" ht="15" hidden="false" customHeight="false" outlineLevel="0" collapsed="false">
      <c r="A336" s="9" t="s">
        <v>196</v>
      </c>
      <c r="B336" s="10" t="n">
        <v>8579</v>
      </c>
      <c r="C336" s="10" t="n">
        <v>8702</v>
      </c>
      <c r="D336" s="10" t="n">
        <v>8592</v>
      </c>
      <c r="E336" s="10" t="n">
        <v>8621</v>
      </c>
      <c r="F336" s="10" t="n">
        <v>9040</v>
      </c>
      <c r="G336" s="10" t="n">
        <v>9489</v>
      </c>
      <c r="H336" s="10" t="n">
        <v>9485</v>
      </c>
      <c r="I336" s="10" t="n">
        <v>9294</v>
      </c>
      <c r="J336" s="10" t="n">
        <v>9609</v>
      </c>
      <c r="K336" s="10" t="n">
        <v>9522</v>
      </c>
    </row>
    <row r="337" customFormat="false" ht="15" hidden="false" customHeight="false" outlineLevel="0" collapsed="false">
      <c r="A337" s="9" t="s">
        <v>249</v>
      </c>
      <c r="B337" s="10" t="n">
        <v>462</v>
      </c>
      <c r="C337" s="10" t="n">
        <v>463</v>
      </c>
      <c r="D337" s="10" t="n">
        <v>550</v>
      </c>
      <c r="E337" s="10" t="n">
        <v>564</v>
      </c>
      <c r="F337" s="10" t="n">
        <v>497</v>
      </c>
      <c r="G337" s="10" t="n">
        <v>555</v>
      </c>
      <c r="H337" s="10" t="n">
        <v>934</v>
      </c>
      <c r="I337" s="10" t="n">
        <v>1445</v>
      </c>
      <c r="J337" s="10" t="n">
        <v>1701</v>
      </c>
      <c r="K337" s="10" t="n">
        <v>999</v>
      </c>
    </row>
    <row r="338" customFormat="false" ht="15" hidden="false" customHeight="false" outlineLevel="0" collapsed="false">
      <c r="A338" s="9" t="s">
        <v>250</v>
      </c>
      <c r="B338" s="10" t="n">
        <v>993</v>
      </c>
      <c r="C338" s="10" t="n">
        <v>0</v>
      </c>
      <c r="D338" s="10" t="n">
        <v>0</v>
      </c>
      <c r="E338" s="10" t="n">
        <v>0</v>
      </c>
      <c r="F338" s="10" t="n">
        <v>0</v>
      </c>
      <c r="G338" s="10" t="n">
        <v>0</v>
      </c>
      <c r="H338" s="10" t="n">
        <v>508</v>
      </c>
      <c r="I338" s="10" t="n">
        <v>396</v>
      </c>
      <c r="J338" s="10" t="n">
        <v>0</v>
      </c>
      <c r="K338" s="10" t="n">
        <v>0</v>
      </c>
    </row>
    <row r="339" customFormat="false" ht="15" hidden="false" customHeight="false" outlineLevel="0" collapsed="false">
      <c r="A339" s="12" t="s">
        <v>251</v>
      </c>
      <c r="B339" s="13" t="n">
        <v>29243</v>
      </c>
      <c r="C339" s="13" t="n">
        <v>30722</v>
      </c>
      <c r="D339" s="13" t="n">
        <v>33141</v>
      </c>
      <c r="E339" s="13" t="n">
        <v>34153</v>
      </c>
      <c r="F339" s="13" t="n">
        <v>33936</v>
      </c>
      <c r="G339" s="13" t="n">
        <v>34709</v>
      </c>
      <c r="H339" s="13" t="n">
        <v>36278</v>
      </c>
      <c r="I339" s="13" t="n">
        <v>40216</v>
      </c>
      <c r="J339" s="13" t="n">
        <v>42969</v>
      </c>
      <c r="K339" s="13" t="n">
        <v>47433</v>
      </c>
    </row>
    <row r="340" customFormat="false" ht="15" hidden="false" customHeight="false" outlineLevel="0" collapsed="false">
      <c r="A340" s="9" t="s">
        <v>252</v>
      </c>
      <c r="B340" s="10" t="n">
        <v>5224</v>
      </c>
      <c r="C340" s="10" t="n">
        <v>5168</v>
      </c>
      <c r="D340" s="10" t="n">
        <v>5148</v>
      </c>
      <c r="E340" s="10" t="n">
        <v>5150</v>
      </c>
      <c r="F340" s="10" t="n">
        <v>5225</v>
      </c>
      <c r="G340" s="10" t="n">
        <v>5419</v>
      </c>
      <c r="H340" s="10" t="n">
        <v>5555</v>
      </c>
      <c r="I340" s="10" t="n">
        <v>6006</v>
      </c>
      <c r="J340" s="10" t="n">
        <v>7139</v>
      </c>
      <c r="K340" s="10" t="n">
        <v>7354</v>
      </c>
    </row>
    <row r="341" customFormat="false" ht="15" hidden="false" customHeight="false" outlineLevel="0" collapsed="false">
      <c r="A341" s="9" t="s">
        <v>253</v>
      </c>
      <c r="B341" s="10" t="n">
        <v>4403</v>
      </c>
      <c r="C341" s="10" t="n">
        <v>4354</v>
      </c>
      <c r="D341" s="10" t="n">
        <v>4444</v>
      </c>
      <c r="E341" s="10" t="n">
        <v>4263</v>
      </c>
      <c r="F341" s="10" t="n">
        <v>4368</v>
      </c>
      <c r="G341" s="10" t="n">
        <v>4528</v>
      </c>
      <c r="H341" s="10" t="n">
        <v>4327</v>
      </c>
      <c r="I341" s="10" t="n">
        <v>4439</v>
      </c>
      <c r="J341" s="10" t="n">
        <v>9855</v>
      </c>
      <c r="K341" s="10" t="n">
        <v>9689</v>
      </c>
    </row>
    <row r="342" customFormat="false" ht="15" hidden="false" customHeight="false" outlineLevel="0" collapsed="false">
      <c r="A342" s="9" t="s">
        <v>254</v>
      </c>
      <c r="B342" s="10" t="n">
        <v>991</v>
      </c>
      <c r="C342" s="10" t="n">
        <v>925</v>
      </c>
      <c r="D342" s="10" t="n">
        <v>869</v>
      </c>
      <c r="E342" s="10" t="n">
        <v>813</v>
      </c>
      <c r="F342" s="10" t="n">
        <v>773</v>
      </c>
      <c r="G342" s="10" t="n">
        <v>739</v>
      </c>
      <c r="H342" s="10" t="n">
        <v>747</v>
      </c>
      <c r="I342" s="10" t="n">
        <v>727</v>
      </c>
      <c r="J342" s="10" t="n">
        <v>4543</v>
      </c>
      <c r="K342" s="10" t="n">
        <v>4507</v>
      </c>
    </row>
    <row r="343" customFormat="false" ht="15" hidden="false" customHeight="false" outlineLevel="0" collapsed="false">
      <c r="A343" s="9" t="s">
        <v>255</v>
      </c>
      <c r="B343" s="10" t="n">
        <v>633</v>
      </c>
      <c r="C343" s="10" t="n">
        <v>614</v>
      </c>
      <c r="D343" s="10" t="n">
        <v>618</v>
      </c>
      <c r="E343" s="10" t="n">
        <v>555</v>
      </c>
      <c r="F343" s="10" t="n">
        <v>505</v>
      </c>
      <c r="G343" s="10" t="n">
        <v>496</v>
      </c>
      <c r="H343" s="10" t="n">
        <v>486</v>
      </c>
      <c r="I343" s="10" t="n">
        <v>378</v>
      </c>
      <c r="J343" s="10" t="n">
        <v>462</v>
      </c>
      <c r="K343" s="10" t="n">
        <v>453</v>
      </c>
    </row>
    <row r="344" customFormat="false" ht="15" hidden="false" customHeight="false" outlineLevel="0" collapsed="false">
      <c r="A344" s="9" t="s">
        <v>256</v>
      </c>
      <c r="B344" s="10" t="n">
        <v>3647</v>
      </c>
      <c r="C344" s="10" t="n">
        <v>2405</v>
      </c>
      <c r="D344" s="10" t="n">
        <v>2376</v>
      </c>
      <c r="E344" s="10" t="n">
        <v>2149</v>
      </c>
      <c r="F344" s="10" t="n">
        <v>2137</v>
      </c>
      <c r="G344" s="10" t="n">
        <v>2170</v>
      </c>
      <c r="H344" s="10" t="n">
        <v>1916</v>
      </c>
      <c r="I344" s="10" t="n">
        <v>1834</v>
      </c>
      <c r="J344" s="10" t="n">
        <v>1396</v>
      </c>
      <c r="K344" s="10" t="n">
        <v>1384</v>
      </c>
    </row>
    <row r="345" customFormat="false" ht="15" hidden="false" customHeight="false" outlineLevel="0" collapsed="false">
      <c r="A345" s="9" t="s">
        <v>257</v>
      </c>
      <c r="B345" s="10" t="n">
        <v>1428</v>
      </c>
      <c r="C345" s="10" t="n">
        <v>1383</v>
      </c>
      <c r="D345" s="10" t="n">
        <v>1499</v>
      </c>
      <c r="E345" s="10" t="n">
        <v>1639</v>
      </c>
      <c r="F345" s="10" t="n">
        <v>1639</v>
      </c>
      <c r="G345" s="10" t="n">
        <v>1733</v>
      </c>
      <c r="H345" s="10" t="n">
        <v>1684</v>
      </c>
      <c r="I345" s="10" t="n">
        <v>5321</v>
      </c>
      <c r="J345" s="10" t="n">
        <v>5182</v>
      </c>
      <c r="K345" s="10" t="n">
        <v>5792</v>
      </c>
    </row>
    <row r="346" customFormat="false" ht="15" hidden="false" customHeight="false" outlineLevel="0" collapsed="false">
      <c r="A346" s="9" t="s">
        <v>258</v>
      </c>
      <c r="B346" s="10" t="n">
        <v>2303</v>
      </c>
      <c r="C346" s="10" t="n">
        <v>2480</v>
      </c>
      <c r="D346" s="10" t="n">
        <v>2758</v>
      </c>
      <c r="E346" s="10" t="n">
        <v>2763</v>
      </c>
      <c r="F346" s="10" t="n">
        <v>2976</v>
      </c>
      <c r="G346" s="10" t="n">
        <v>3282</v>
      </c>
      <c r="H346" s="10" t="n">
        <v>3406</v>
      </c>
      <c r="I346" s="10" t="n">
        <v>4095</v>
      </c>
      <c r="J346" s="10" t="n">
        <v>4066</v>
      </c>
      <c r="K346" s="10" t="n">
        <v>4188</v>
      </c>
    </row>
    <row r="347" customFormat="false" ht="15" hidden="false" customHeight="false" outlineLevel="0" collapsed="false">
      <c r="A347" s="12" t="s">
        <v>259</v>
      </c>
      <c r="B347" s="13" t="n">
        <v>47872</v>
      </c>
      <c r="C347" s="13" t="n">
        <v>48052</v>
      </c>
      <c r="D347" s="13" t="n">
        <v>50853</v>
      </c>
      <c r="E347" s="13" t="n">
        <v>51485</v>
      </c>
      <c r="F347" s="13" t="n">
        <v>51559</v>
      </c>
      <c r="G347" s="13" t="n">
        <v>53078</v>
      </c>
      <c r="H347" s="13" t="n">
        <v>54398</v>
      </c>
      <c r="I347" s="13" t="n">
        <v>63016</v>
      </c>
      <c r="J347" s="13" t="n">
        <v>75612</v>
      </c>
      <c r="K347" s="13" t="n">
        <v>80800</v>
      </c>
    </row>
    <row r="348" customFormat="false" ht="15" hidden="false" customHeight="false" outlineLevel="0" collapsed="false">
      <c r="A348" s="9" t="s">
        <v>260</v>
      </c>
      <c r="B348" s="10" t="n">
        <v>7726</v>
      </c>
      <c r="C348" s="10" t="n">
        <v>7885</v>
      </c>
      <c r="D348" s="10" t="n">
        <v>9000</v>
      </c>
      <c r="E348" s="10" t="n">
        <v>8602</v>
      </c>
      <c r="F348" s="10" t="n">
        <v>8421</v>
      </c>
      <c r="G348" s="10" t="n">
        <v>9035</v>
      </c>
      <c r="H348" s="10" t="n">
        <v>9541</v>
      </c>
      <c r="I348" s="10" t="n">
        <v>8809</v>
      </c>
      <c r="J348" s="10" t="n">
        <v>9572</v>
      </c>
      <c r="K348" s="10" t="n">
        <v>10104</v>
      </c>
    </row>
    <row r="349" customFormat="false" ht="15" hidden="false" customHeight="false" outlineLevel="0" collapsed="false">
      <c r="A349" s="9" t="s">
        <v>261</v>
      </c>
      <c r="B349" s="10" t="n">
        <v>15919</v>
      </c>
      <c r="C349" s="10" t="n">
        <v>16536</v>
      </c>
      <c r="D349" s="10" t="n">
        <v>16908</v>
      </c>
      <c r="E349" s="10" t="n">
        <v>17587</v>
      </c>
      <c r="F349" s="10" t="n">
        <v>18708</v>
      </c>
      <c r="G349" s="10" t="n">
        <v>19603</v>
      </c>
      <c r="H349" s="10" t="n">
        <v>20151</v>
      </c>
      <c r="I349" s="10" t="n">
        <v>25774</v>
      </c>
      <c r="J349" s="10" t="n">
        <v>31830</v>
      </c>
      <c r="K349" s="10" t="n">
        <v>39944</v>
      </c>
    </row>
    <row r="350" customFormat="false" ht="15" hidden="false" customHeight="false" outlineLevel="0" collapsed="false">
      <c r="A350" s="9" t="s">
        <v>262</v>
      </c>
      <c r="B350" s="10" t="n">
        <v>4399</v>
      </c>
      <c r="C350" s="10" t="n">
        <v>4644</v>
      </c>
      <c r="D350" s="10" t="n">
        <v>5324</v>
      </c>
      <c r="E350" s="10" t="n">
        <v>5496</v>
      </c>
      <c r="F350" s="10" t="n">
        <v>5547</v>
      </c>
      <c r="G350" s="10" t="n">
        <v>5123</v>
      </c>
      <c r="H350" s="10" t="n">
        <v>5499</v>
      </c>
      <c r="I350" s="10" t="n">
        <v>6310</v>
      </c>
      <c r="J350" s="10" t="n">
        <v>6691</v>
      </c>
      <c r="K350" s="10" t="n">
        <v>5782</v>
      </c>
    </row>
    <row r="351" customFormat="false" ht="15" hidden="false" customHeight="false" outlineLevel="0" collapsed="false">
      <c r="A351" s="9" t="s">
        <v>263</v>
      </c>
      <c r="B351" s="10" t="n">
        <v>1472</v>
      </c>
      <c r="C351" s="10" t="n">
        <v>0</v>
      </c>
      <c r="D351" s="10" t="n">
        <v>0</v>
      </c>
      <c r="E351" s="10" t="n">
        <v>0</v>
      </c>
      <c r="F351" s="10" t="n">
        <v>0</v>
      </c>
      <c r="G351" s="10" t="n">
        <v>0</v>
      </c>
      <c r="H351" s="10" t="n">
        <v>80</v>
      </c>
      <c r="I351" s="10" t="n">
        <v>79</v>
      </c>
      <c r="J351" s="10" t="n">
        <v>0</v>
      </c>
      <c r="K351" s="10" t="n">
        <v>0</v>
      </c>
    </row>
    <row r="352" customFormat="false" ht="15" hidden="false" customHeight="false" outlineLevel="0" collapsed="false">
      <c r="A352" s="12" t="s">
        <v>264</v>
      </c>
      <c r="B352" s="13" t="n">
        <v>29516</v>
      </c>
      <c r="C352" s="13" t="n">
        <v>29065</v>
      </c>
      <c r="D352" s="13" t="n">
        <v>31233</v>
      </c>
      <c r="E352" s="13" t="n">
        <v>31685</v>
      </c>
      <c r="F352" s="13" t="n">
        <v>32677</v>
      </c>
      <c r="G352" s="13" t="n">
        <v>33761</v>
      </c>
      <c r="H352" s="13" t="n">
        <v>35272</v>
      </c>
      <c r="I352" s="13" t="n">
        <v>40972</v>
      </c>
      <c r="J352" s="13" t="n">
        <v>48094</v>
      </c>
      <c r="K352" s="13" t="n">
        <v>55830</v>
      </c>
    </row>
    <row r="353" customFormat="false" ht="15" hidden="false" customHeight="false" outlineLevel="0" collapsed="false">
      <c r="A353" s="9" t="s">
        <v>265</v>
      </c>
      <c r="B353" s="10" t="n">
        <v>0</v>
      </c>
      <c r="C353" s="10" t="n">
        <v>0</v>
      </c>
      <c r="D353" s="10" t="n">
        <v>0</v>
      </c>
      <c r="E353" s="10" t="n">
        <v>0</v>
      </c>
      <c r="F353" s="10" t="n">
        <v>0</v>
      </c>
      <c r="G353" s="10" t="n">
        <v>0</v>
      </c>
      <c r="H353" s="10" t="n">
        <v>0</v>
      </c>
      <c r="I353" s="10" t="n">
        <v>265</v>
      </c>
      <c r="J353" s="10" t="n">
        <v>2806</v>
      </c>
      <c r="K353" s="10" t="n">
        <v>2794</v>
      </c>
    </row>
    <row r="354" customFormat="false" ht="15" hidden="false" customHeight="false" outlineLevel="0" collapsed="false">
      <c r="A354" s="9" t="s">
        <v>266</v>
      </c>
      <c r="B354" s="10" t="n">
        <v>423</v>
      </c>
      <c r="C354" s="10" t="n">
        <v>674</v>
      </c>
      <c r="D354" s="10" t="n">
        <v>823</v>
      </c>
      <c r="E354" s="10" t="n">
        <v>827</v>
      </c>
      <c r="F354" s="10" t="n">
        <v>782</v>
      </c>
      <c r="G354" s="10" t="n">
        <v>818</v>
      </c>
      <c r="H354" s="10" t="n">
        <v>820</v>
      </c>
      <c r="I354" s="10" t="n">
        <v>1162</v>
      </c>
      <c r="J354" s="10" t="n">
        <v>1298</v>
      </c>
      <c r="K354" s="10" t="n">
        <v>1471</v>
      </c>
    </row>
    <row r="355" customFormat="false" ht="15" hidden="false" customHeight="false" outlineLevel="0" collapsed="false">
      <c r="A355" s="9" t="s">
        <v>267</v>
      </c>
      <c r="B355" s="10" t="n">
        <v>3266</v>
      </c>
      <c r="C355" s="10" t="n">
        <v>3224</v>
      </c>
      <c r="D355" s="10" t="n">
        <v>3233</v>
      </c>
      <c r="E355" s="10" t="n">
        <v>3264</v>
      </c>
      <c r="F355" s="10" t="n">
        <v>3251</v>
      </c>
      <c r="G355" s="10" t="n">
        <v>3243</v>
      </c>
      <c r="H355" s="10" t="n">
        <v>3195</v>
      </c>
      <c r="I355" s="10" t="n">
        <v>3171</v>
      </c>
      <c r="J355" s="10" t="n">
        <v>3195</v>
      </c>
      <c r="K355" s="10" t="n">
        <v>2654</v>
      </c>
    </row>
    <row r="356" customFormat="false" ht="15" hidden="false" customHeight="false" outlineLevel="0" collapsed="false">
      <c r="A356" s="9" t="s">
        <v>268</v>
      </c>
      <c r="B356" s="10" t="n">
        <v>4687</v>
      </c>
      <c r="C356" s="10" t="n">
        <v>5040</v>
      </c>
      <c r="D356" s="10" t="n">
        <v>5047</v>
      </c>
      <c r="E356" s="10" t="n">
        <v>5116</v>
      </c>
      <c r="F356" s="10" t="n">
        <v>5177</v>
      </c>
      <c r="G356" s="10" t="n">
        <v>5309</v>
      </c>
      <c r="H356" s="10" t="n">
        <v>5382</v>
      </c>
      <c r="I356" s="10" t="n">
        <v>5151</v>
      </c>
      <c r="J356" s="10" t="n">
        <v>5154</v>
      </c>
      <c r="K356" s="10" t="n">
        <v>4936</v>
      </c>
    </row>
    <row r="357" customFormat="false" ht="15" hidden="false" customHeight="false" outlineLevel="0" collapsed="false">
      <c r="A357" s="12" t="s">
        <v>269</v>
      </c>
      <c r="B357" s="13" t="n">
        <v>37892</v>
      </c>
      <c r="C357" s="13" t="n">
        <v>38003</v>
      </c>
      <c r="D357" s="13" t="n">
        <v>40336</v>
      </c>
      <c r="E357" s="13" t="n">
        <v>40892</v>
      </c>
      <c r="F357" s="13" t="n">
        <v>41887</v>
      </c>
      <c r="G357" s="13" t="n">
        <v>43131</v>
      </c>
      <c r="H357" s="13" t="n">
        <v>44669</v>
      </c>
      <c r="I357" s="13" t="n">
        <v>50720</v>
      </c>
      <c r="J357" s="13" t="n">
        <v>60547</v>
      </c>
      <c r="K357" s="13" t="n">
        <v>67685</v>
      </c>
    </row>
    <row r="358" customFormat="false" ht="15" hidden="false" customHeight="false" outlineLevel="0" collapsed="false">
      <c r="A358" s="9" t="s">
        <v>270</v>
      </c>
      <c r="B358" s="10" t="n">
        <v>0</v>
      </c>
      <c r="C358" s="10" t="n">
        <v>3</v>
      </c>
      <c r="D358" s="10" t="n">
        <v>3</v>
      </c>
      <c r="E358" s="10" t="n">
        <v>3</v>
      </c>
      <c r="F358" s="10" t="n">
        <v>3</v>
      </c>
      <c r="G358" s="10" t="n">
        <v>3</v>
      </c>
      <c r="H358" s="10" t="n">
        <v>3</v>
      </c>
      <c r="I358" s="10" t="n">
        <v>3</v>
      </c>
      <c r="J358" s="10" t="n">
        <v>3</v>
      </c>
      <c r="K358" s="10" t="n">
        <v>3</v>
      </c>
    </row>
    <row r="359" customFormat="false" ht="15" hidden="false" customHeight="false" outlineLevel="0" collapsed="false">
      <c r="A359" s="9" t="s">
        <v>271</v>
      </c>
      <c r="B359" s="10" t="n">
        <v>0</v>
      </c>
      <c r="C359" s="10" t="n">
        <v>8801</v>
      </c>
      <c r="D359" s="10" t="n">
        <v>9374</v>
      </c>
      <c r="E359" s="10" t="n">
        <v>9733</v>
      </c>
      <c r="F359" s="10" t="n">
        <v>9654</v>
      </c>
      <c r="G359" s="10" t="n">
        <v>9714</v>
      </c>
      <c r="H359" s="10" t="n">
        <v>9755</v>
      </c>
      <c r="I359" s="10" t="n">
        <v>9813</v>
      </c>
      <c r="J359" s="10" t="n">
        <v>9414</v>
      </c>
      <c r="K359" s="10" t="n">
        <v>9445</v>
      </c>
    </row>
    <row r="360" customFormat="false" ht="15" hidden="false" customHeight="false" outlineLevel="0" collapsed="false">
      <c r="A360" s="9" t="s">
        <v>272</v>
      </c>
      <c r="B360" s="10" t="n">
        <v>0</v>
      </c>
      <c r="C360" s="10" t="n">
        <v>1294</v>
      </c>
      <c r="D360" s="10" t="n">
        <v>1198</v>
      </c>
      <c r="E360" s="10" t="n">
        <v>1611</v>
      </c>
      <c r="F360" s="10" t="n">
        <v>1865</v>
      </c>
      <c r="G360" s="10" t="n">
        <v>2241</v>
      </c>
      <c r="H360" s="10" t="n">
        <v>2626</v>
      </c>
      <c r="I360" s="10" t="n">
        <v>6154</v>
      </c>
      <c r="J360" s="10" t="n">
        <v>10762</v>
      </c>
      <c r="K360" s="10" t="n">
        <v>11296</v>
      </c>
    </row>
    <row r="361" customFormat="false" ht="15" hidden="false" customHeight="false" outlineLevel="0" collapsed="false">
      <c r="A361" s="9" t="s">
        <v>273</v>
      </c>
      <c r="B361" s="10" t="n">
        <v>9659</v>
      </c>
      <c r="C361" s="10" t="n">
        <v>0</v>
      </c>
      <c r="D361" s="10" t="n">
        <v>0</v>
      </c>
      <c r="E361" s="10" t="n">
        <v>0</v>
      </c>
      <c r="F361" s="10" t="n">
        <v>0</v>
      </c>
      <c r="G361" s="10" t="n">
        <v>0</v>
      </c>
      <c r="H361" s="10" t="n">
        <v>0</v>
      </c>
      <c r="I361" s="10" t="n">
        <v>0</v>
      </c>
      <c r="J361" s="10" t="n">
        <v>0</v>
      </c>
      <c r="K361" s="10" t="n">
        <v>0</v>
      </c>
    </row>
    <row r="362" customFormat="false" ht="15" hidden="false" customHeight="false" outlineLevel="0" collapsed="false">
      <c r="A362" s="9" t="s">
        <v>274</v>
      </c>
      <c r="B362" s="10" t="n">
        <v>0</v>
      </c>
      <c r="C362" s="10" t="n">
        <v>0</v>
      </c>
      <c r="D362" s="10" t="n">
        <v>-40</v>
      </c>
      <c r="E362" s="10" t="n">
        <v>-43</v>
      </c>
      <c r="F362" s="10" t="n">
        <v>-1256</v>
      </c>
      <c r="G362" s="10" t="n">
        <v>-1636</v>
      </c>
      <c r="H362" s="10" t="n">
        <v>-2300</v>
      </c>
      <c r="I362" s="10" t="n">
        <v>-3385</v>
      </c>
      <c r="J362" s="10" t="n">
        <v>-4684</v>
      </c>
      <c r="K362" s="10" t="n">
        <v>-7057</v>
      </c>
    </row>
    <row r="363" customFormat="false" ht="15" hidden="false" customHeight="false" outlineLevel="0" collapsed="false">
      <c r="A363" s="9" t="s">
        <v>275</v>
      </c>
      <c r="B363" s="10" t="n">
        <v>-686</v>
      </c>
      <c r="C363" s="10" t="n">
        <v>-1031</v>
      </c>
      <c r="D363" s="10" t="n">
        <v>-1031</v>
      </c>
      <c r="E363" s="10" t="n">
        <v>-1759</v>
      </c>
      <c r="F363" s="10" t="n">
        <v>-1660</v>
      </c>
      <c r="G363" s="10" t="n">
        <v>-1445</v>
      </c>
      <c r="H363" s="10" t="n">
        <v>-1438</v>
      </c>
      <c r="I363" s="10" t="n">
        <v>-1407</v>
      </c>
      <c r="J363" s="10" t="n">
        <v>-1574</v>
      </c>
      <c r="K363" s="10" t="n">
        <v>-1731</v>
      </c>
    </row>
    <row r="364" customFormat="false" ht="15" hidden="false" customHeight="false" outlineLevel="0" collapsed="false">
      <c r="A364" s="12" t="s">
        <v>276</v>
      </c>
      <c r="B364" s="13" t="n">
        <v>8974</v>
      </c>
      <c r="C364" s="13" t="n">
        <v>9067</v>
      </c>
      <c r="D364" s="13" t="n">
        <v>9504</v>
      </c>
      <c r="E364" s="13" t="n">
        <v>9546</v>
      </c>
      <c r="F364" s="13" t="n">
        <v>8607</v>
      </c>
      <c r="G364" s="13" t="n">
        <v>8877</v>
      </c>
      <c r="H364" s="13" t="n">
        <v>8646</v>
      </c>
      <c r="I364" s="13" t="n">
        <v>11178</v>
      </c>
      <c r="J364" s="13" t="n">
        <v>13922</v>
      </c>
      <c r="K364" s="13" t="n">
        <v>11957</v>
      </c>
    </row>
    <row r="365" customFormat="false" ht="15" hidden="false" customHeight="false" outlineLevel="0" collapsed="false">
      <c r="A365" s="9" t="s">
        <v>277</v>
      </c>
      <c r="B365" s="10" t="n">
        <v>1007</v>
      </c>
      <c r="C365" s="10" t="n">
        <v>982</v>
      </c>
      <c r="D365" s="10" t="n">
        <v>1014</v>
      </c>
      <c r="E365" s="10" t="n">
        <v>1047</v>
      </c>
      <c r="F365" s="10" t="n">
        <v>1065</v>
      </c>
      <c r="G365" s="10" t="n">
        <v>1070</v>
      </c>
      <c r="H365" s="10" t="n">
        <v>1083</v>
      </c>
      <c r="I365" s="10" t="n">
        <v>1118</v>
      </c>
      <c r="J365" s="10" t="n">
        <v>1143</v>
      </c>
      <c r="K365" s="10" t="n">
        <v>1158</v>
      </c>
    </row>
    <row r="366" customFormat="false" ht="15" hidden="false" customHeight="false" outlineLevel="0" collapsed="false">
      <c r="A366" s="12" t="s">
        <v>278</v>
      </c>
      <c r="B366" s="13" t="n">
        <v>9980</v>
      </c>
      <c r="C366" s="13" t="n">
        <v>10049</v>
      </c>
      <c r="D366" s="13" t="n">
        <v>10517</v>
      </c>
      <c r="E366" s="13" t="n">
        <v>10593</v>
      </c>
      <c r="F366" s="13" t="n">
        <v>9672</v>
      </c>
      <c r="G366" s="13" t="n">
        <v>9947</v>
      </c>
      <c r="H366" s="13" t="n">
        <v>9729</v>
      </c>
      <c r="I366" s="13" t="n">
        <v>12296</v>
      </c>
      <c r="J366" s="13" t="n">
        <v>15065</v>
      </c>
      <c r="K366" s="13" t="n">
        <v>13115</v>
      </c>
    </row>
    <row r="367" customFormat="false" ht="15" hidden="false" customHeight="false" outlineLevel="0" collapsed="false">
      <c r="A367" s="12" t="s">
        <v>279</v>
      </c>
      <c r="B367" s="13" t="n">
        <v>47872</v>
      </c>
      <c r="C367" s="13" t="n">
        <v>48052</v>
      </c>
      <c r="D367" s="13" t="n">
        <v>50853</v>
      </c>
      <c r="E367" s="13" t="n">
        <v>51485</v>
      </c>
      <c r="F367" s="13" t="n">
        <v>51559</v>
      </c>
      <c r="G367" s="13" t="n">
        <v>53078</v>
      </c>
      <c r="H367" s="13" t="n">
        <v>54398</v>
      </c>
      <c r="I367" s="13" t="n">
        <v>63016</v>
      </c>
      <c r="J367" s="13" t="n">
        <v>75612</v>
      </c>
      <c r="K367" s="13" t="n">
        <v>80800</v>
      </c>
    </row>
    <row r="369" customFormat="false" ht="15" hidden="false" customHeight="false" outlineLevel="0" collapsed="false">
      <c r="A369" s="8" t="s">
        <v>280</v>
      </c>
      <c r="B369" s="8"/>
      <c r="C369" s="8"/>
      <c r="D369" s="8"/>
      <c r="E369" s="8"/>
      <c r="F369" s="8"/>
      <c r="G369" s="8"/>
      <c r="H369" s="8"/>
      <c r="I369" s="8"/>
      <c r="J369" s="8"/>
      <c r="K369" s="8"/>
    </row>
    <row r="370" customFormat="false" ht="15" hidden="false" customHeight="false" outlineLevel="0" collapsed="false">
      <c r="A370" s="5" t="s">
        <v>281</v>
      </c>
      <c r="B370" s="11" t="n">
        <f aca="false">B333-B353</f>
        <v>3255</v>
      </c>
      <c r="C370" s="11" t="n">
        <f aca="false">C333-C353</f>
        <v>5779</v>
      </c>
      <c r="D370" s="11" t="n">
        <f aca="false">D333-D353</f>
        <v>7395</v>
      </c>
      <c r="E370" s="11" t="n">
        <f aca="false">E333-E353</f>
        <v>8205</v>
      </c>
      <c r="F370" s="11" t="n">
        <f aca="false">F333-F353</f>
        <v>8107</v>
      </c>
      <c r="G370" s="11" t="n">
        <f aca="false">G333-G353</f>
        <v>7892</v>
      </c>
      <c r="H370" s="11" t="n">
        <f aca="false">H333-H353</f>
        <v>7945</v>
      </c>
      <c r="I370" s="11" t="n">
        <f aca="false">I333-I353</f>
        <v>8583</v>
      </c>
      <c r="J370" s="11" t="n">
        <f aca="false">J333-J353</f>
        <v>7366</v>
      </c>
      <c r="K370" s="11" t="n">
        <f aca="false">K333-K353</f>
        <v>10326</v>
      </c>
    </row>
    <row r="371" customFormat="false" ht="15" hidden="false" customHeight="false" outlineLevel="0" collapsed="false">
      <c r="A371" s="9" t="s">
        <v>282</v>
      </c>
      <c r="B371" s="24" t="n">
        <f aca="false">IF(B352&lt;&gt;0,B339/B352,"")</f>
        <v>0.990750779238379</v>
      </c>
      <c r="C371" s="24" t="n">
        <f aca="false">IF(C352&lt;&gt;0,C339/C352,"")</f>
        <v>1.05701014966455</v>
      </c>
      <c r="D371" s="24" t="n">
        <f aca="false">IF(D352&lt;&gt;0,D339/D352,"")</f>
        <v>1.0610892325425</v>
      </c>
      <c r="E371" s="24" t="n">
        <f aca="false">IF(E352&lt;&gt;0,E339/E352,"")</f>
        <v>1.07789174688338</v>
      </c>
      <c r="F371" s="24" t="n">
        <f aca="false">IF(F352&lt;&gt;0,F339/F352,"")</f>
        <v>1.03852862869909</v>
      </c>
      <c r="G371" s="24" t="n">
        <f aca="false">IF(G352&lt;&gt;0,G339/G352,"")</f>
        <v>1.02807973697462</v>
      </c>
      <c r="H371" s="24" t="n">
        <f aca="false">IF(H352&lt;&gt;0,H339/H352,"")</f>
        <v>1.02852120662282</v>
      </c>
      <c r="I371" s="24" t="n">
        <f aca="false">IF(I352&lt;&gt;0,I339/I352,"")</f>
        <v>0.981548374499658</v>
      </c>
      <c r="J371" s="24" t="n">
        <f aca="false">IF(J352&lt;&gt;0,J339/J352,"")</f>
        <v>0.893437850875369</v>
      </c>
      <c r="K371" s="24" t="n">
        <f aca="false">IF(K352&lt;&gt;0,K339/K352,"")</f>
        <v>0.849596990865126</v>
      </c>
    </row>
    <row r="372" customFormat="false" ht="15" hidden="false" customHeight="false" outlineLevel="0" collapsed="false">
      <c r="A372" s="5" t="s">
        <v>283</v>
      </c>
      <c r="B372" s="17"/>
      <c r="C372" s="27" t="n">
        <v>274.701743</v>
      </c>
      <c r="D372" s="27" t="n">
        <v>275.627753</v>
      </c>
      <c r="E372" s="27" t="n">
        <v>275.880314</v>
      </c>
      <c r="F372" s="27" t="n">
        <v>272.934744</v>
      </c>
      <c r="G372" s="27" t="n">
        <v>272.22394</v>
      </c>
      <c r="H372" s="27" t="n">
        <v>271.320459</v>
      </c>
      <c r="I372" s="27" t="n">
        <v>269.529464</v>
      </c>
      <c r="J372" s="27" t="n">
        <v>268.719995</v>
      </c>
      <c r="K372" s="27" t="n">
        <v>266.333581</v>
      </c>
    </row>
    <row r="373" customFormat="false" ht="15" hidden="false" customHeight="false" outlineLevel="0" collapsed="false">
      <c r="A373" s="9" t="s">
        <v>284</v>
      </c>
      <c r="B373" s="17"/>
      <c r="C373" s="17"/>
      <c r="D373" s="26" t="n">
        <f aca="false">IF(AND(ISNUMBER(D372),ISNUMBER(C372)),D372-C372,"")</f>
        <v>0.926009999999963</v>
      </c>
      <c r="E373" s="26" t="n">
        <f aca="false">IF(AND(ISNUMBER(E372),ISNUMBER(D372)),E372-D372,"")</f>
        <v>0.252561000000014</v>
      </c>
      <c r="F373" s="26" t="n">
        <f aca="false">IF(AND(ISNUMBER(F372),ISNUMBER(E372)),F372-E372,"")</f>
        <v>-2.94556999999998</v>
      </c>
      <c r="G373" s="26" t="n">
        <f aca="false">IF(AND(ISNUMBER(G372),ISNUMBER(F372)),G372-F372,"")</f>
        <v>-0.710803999999996</v>
      </c>
      <c r="H373" s="26" t="n">
        <f aca="false">IF(AND(ISNUMBER(H372),ISNUMBER(G372)),H372-G372,"")</f>
        <v>-0.903480999999999</v>
      </c>
      <c r="I373" s="26" t="n">
        <f aca="false">IF(AND(ISNUMBER(I372),ISNUMBER(H372)),I372-H372,"")</f>
        <v>-1.79099500000001</v>
      </c>
      <c r="J373" s="26" t="n">
        <f aca="false">IF(AND(ISNUMBER(J372),ISNUMBER(I372)),J372-I372,"")</f>
        <v>-0.809469000000036</v>
      </c>
      <c r="K373" s="26" t="n">
        <f aca="false">IF(AND(ISNUMBER(K372),ISNUMBER(J372)),K372-J372,"")</f>
        <v>-2.386414</v>
      </c>
    </row>
    <row r="374" customFormat="false" ht="15" hidden="false" customHeight="false" outlineLevel="0" collapsed="false">
      <c r="A374" s="9" t="s">
        <v>285</v>
      </c>
      <c r="B374" s="11" t="n">
        <f aca="false">B347-B367</f>
        <v>0</v>
      </c>
      <c r="C374" s="11" t="n">
        <f aca="false">C347-C367</f>
        <v>0</v>
      </c>
      <c r="D374" s="11" t="n">
        <f aca="false">D347-D367</f>
        <v>0</v>
      </c>
      <c r="E374" s="11" t="n">
        <f aca="false">E347-E367</f>
        <v>0</v>
      </c>
      <c r="F374" s="11" t="n">
        <f aca="false">F347-F367</f>
        <v>0</v>
      </c>
      <c r="G374" s="11" t="n">
        <f aca="false">G347-G367</f>
        <v>0</v>
      </c>
      <c r="H374" s="11" t="n">
        <f aca="false">H347-H367</f>
        <v>0</v>
      </c>
      <c r="I374" s="11" t="n">
        <f aca="false">I347-I367</f>
        <v>0</v>
      </c>
      <c r="J374" s="11" t="n">
        <f aca="false">J347-J367</f>
        <v>0</v>
      </c>
      <c r="K374" s="11" t="n">
        <f aca="false">K347-K367</f>
        <v>0</v>
      </c>
    </row>
    <row r="376" customFormat="false" ht="15" hidden="false" customHeight="false" outlineLevel="0" collapsed="false">
      <c r="A376" s="8" t="s">
        <v>286</v>
      </c>
      <c r="B376" s="8"/>
      <c r="C376" s="8"/>
      <c r="D376" s="8"/>
      <c r="E376" s="8"/>
      <c r="F376" s="8"/>
      <c r="G376" s="8"/>
      <c r="H376" s="8"/>
      <c r="I376" s="8"/>
      <c r="J376" s="8"/>
      <c r="K376" s="8"/>
    </row>
    <row r="377" customFormat="false" ht="15" hidden="false" customHeight="false" outlineLevel="0" collapsed="false">
      <c r="A377" s="9" t="s">
        <v>51</v>
      </c>
      <c r="B377" s="10" t="n">
        <v>-106</v>
      </c>
      <c r="C377" s="10" t="n">
        <v>1174</v>
      </c>
      <c r="D377" s="10" t="n">
        <v>1075</v>
      </c>
      <c r="E377" s="10" t="n">
        <v>1559</v>
      </c>
      <c r="F377" s="10" t="n">
        <v>264</v>
      </c>
      <c r="G377" s="10" t="n">
        <v>756</v>
      </c>
      <c r="H377" s="10" t="n">
        <v>1209</v>
      </c>
      <c r="I377" s="10" t="n">
        <v>4879</v>
      </c>
      <c r="J377" s="10" t="n">
        <v>4750</v>
      </c>
      <c r="K377" s="10" t="n">
        <v>5398</v>
      </c>
    </row>
    <row r="378" customFormat="false" ht="15" hidden="false" customHeight="false" outlineLevel="0" collapsed="false">
      <c r="A378" s="9" t="s">
        <v>208</v>
      </c>
      <c r="B378" s="10" t="n">
        <v>188</v>
      </c>
      <c r="C378" s="10" t="n">
        <v>379</v>
      </c>
      <c r="D378" s="10" t="n">
        <v>715</v>
      </c>
      <c r="E378" s="10" t="n">
        <v>895</v>
      </c>
      <c r="F378" s="10" t="n">
        <v>149</v>
      </c>
      <c r="G378" s="10" t="n">
        <v>294</v>
      </c>
      <c r="H378" s="10" t="n">
        <v>446</v>
      </c>
      <c r="I378" s="10" t="n">
        <v>615</v>
      </c>
      <c r="J378" s="10" t="n">
        <v>166</v>
      </c>
      <c r="K378" s="10" t="n">
        <v>348</v>
      </c>
    </row>
    <row r="379" customFormat="false" ht="15" hidden="false" customHeight="false" outlineLevel="0" collapsed="false">
      <c r="A379" s="9" t="s">
        <v>209</v>
      </c>
      <c r="B379" s="10" t="n">
        <v>63</v>
      </c>
      <c r="C379" s="10" t="n">
        <v>126</v>
      </c>
      <c r="D379" s="10" t="n">
        <v>188</v>
      </c>
      <c r="E379" s="10" t="n">
        <v>277</v>
      </c>
      <c r="F379" s="10" t="n">
        <v>56</v>
      </c>
      <c r="G379" s="10" t="n">
        <v>116</v>
      </c>
      <c r="H379" s="10" t="n">
        <v>177</v>
      </c>
      <c r="I379" s="10" t="n">
        <v>238</v>
      </c>
      <c r="J379" s="10" t="n">
        <v>176</v>
      </c>
      <c r="K379" s="10" t="n">
        <v>411</v>
      </c>
    </row>
    <row r="380" customFormat="false" ht="15" hidden="false" customHeight="false" outlineLevel="0" collapsed="false">
      <c r="A380" s="9" t="s">
        <v>75</v>
      </c>
      <c r="B380" s="10" t="n">
        <v>3</v>
      </c>
      <c r="C380" s="10" t="n">
        <v>-851</v>
      </c>
      <c r="D380" s="10" t="n">
        <v>-859</v>
      </c>
      <c r="E380" s="10" t="n">
        <v>-1147</v>
      </c>
      <c r="F380" s="10" t="n">
        <v>-21</v>
      </c>
      <c r="G380" s="10" t="n">
        <v>-22</v>
      </c>
      <c r="H380" s="10" t="n">
        <v>-66</v>
      </c>
      <c r="I380" s="10" t="n">
        <v>-185</v>
      </c>
      <c r="J380" s="10" t="n">
        <v>-4405</v>
      </c>
      <c r="K380" s="10" t="n">
        <v>-4428</v>
      </c>
    </row>
    <row r="381" customFormat="false" ht="15" hidden="false" customHeight="false" outlineLevel="0" collapsed="false">
      <c r="A381" s="9" t="s">
        <v>210</v>
      </c>
      <c r="B381" s="10" t="n">
        <v>-95</v>
      </c>
      <c r="C381" s="10" t="n">
        <v>-186</v>
      </c>
      <c r="D381" s="10" t="n">
        <v>-280</v>
      </c>
      <c r="E381" s="10" t="n">
        <v>-376</v>
      </c>
      <c r="F381" s="10" t="n">
        <v>-89</v>
      </c>
      <c r="G381" s="10" t="n">
        <v>-179</v>
      </c>
      <c r="H381" s="10" t="n">
        <v>-268</v>
      </c>
      <c r="I381" s="10" t="n">
        <v>-361</v>
      </c>
      <c r="J381" s="10" t="n">
        <v>-90</v>
      </c>
      <c r="K381" s="10" t="n">
        <v>-696</v>
      </c>
    </row>
    <row r="382" customFormat="false" ht="15" hidden="false" customHeight="false" outlineLevel="0" collapsed="false">
      <c r="A382" s="9" t="s">
        <v>211</v>
      </c>
      <c r="B382" s="10" t="n">
        <v>-47</v>
      </c>
      <c r="C382" s="10" t="n">
        <v>-121</v>
      </c>
      <c r="D382" s="10" t="n">
        <v>-189</v>
      </c>
      <c r="E382" s="10" t="n">
        <v>-290</v>
      </c>
      <c r="F382" s="10" t="n">
        <v>-44</v>
      </c>
      <c r="G382" s="10" t="n">
        <v>-110</v>
      </c>
      <c r="H382" s="10" t="n">
        <v>-167</v>
      </c>
      <c r="I382" s="10" t="n">
        <v>-227</v>
      </c>
      <c r="J382" s="10" t="n">
        <v>-80</v>
      </c>
      <c r="K382" s="10" t="n">
        <v>-122</v>
      </c>
    </row>
    <row r="383" customFormat="false" ht="15" hidden="false" customHeight="false" outlineLevel="0" collapsed="false">
      <c r="A383" s="9" t="s">
        <v>50</v>
      </c>
      <c r="B383" s="10" t="n">
        <v>10</v>
      </c>
      <c r="C383" s="10" t="n">
        <v>333</v>
      </c>
      <c r="D383" s="10" t="n">
        <v>310</v>
      </c>
      <c r="E383" s="10" t="n">
        <v>939</v>
      </c>
      <c r="F383" s="10" t="n">
        <v>68</v>
      </c>
      <c r="G383" s="10" t="n">
        <v>221</v>
      </c>
      <c r="H383" s="10" t="n">
        <v>514</v>
      </c>
      <c r="I383" s="10" t="n">
        <v>-2051</v>
      </c>
      <c r="J383" s="10" t="n">
        <v>354</v>
      </c>
      <c r="K383" s="10" t="n">
        <v>630</v>
      </c>
    </row>
    <row r="384" customFormat="false" ht="15" hidden="false" customHeight="false" outlineLevel="0" collapsed="false">
      <c r="A384" s="9" t="s">
        <v>212</v>
      </c>
      <c r="B384" s="10" t="n">
        <v>-58</v>
      </c>
      <c r="C384" s="10" t="n">
        <v>-173</v>
      </c>
      <c r="D384" s="10" t="n">
        <v>-299</v>
      </c>
      <c r="E384" s="10" t="n">
        <v>-623</v>
      </c>
      <c r="F384" s="10" t="n">
        <v>-145</v>
      </c>
      <c r="G384" s="10" t="n">
        <v>-363</v>
      </c>
      <c r="H384" s="10" t="n">
        <v>-489</v>
      </c>
      <c r="I384" s="10" t="n">
        <v>-830</v>
      </c>
      <c r="J384" s="10" t="n">
        <v>-534</v>
      </c>
      <c r="K384" s="10" t="n">
        <v>-1258</v>
      </c>
    </row>
    <row r="385" customFormat="false" ht="15" hidden="false" customHeight="false" outlineLevel="0" collapsed="false">
      <c r="A385" s="9" t="s">
        <v>213</v>
      </c>
      <c r="B385" s="10" t="n">
        <v>303</v>
      </c>
      <c r="C385" s="10" t="n">
        <v>677</v>
      </c>
      <c r="D385" s="10" t="n">
        <v>24</v>
      </c>
      <c r="E385" s="10" t="n">
        <v>-1297</v>
      </c>
      <c r="F385" s="10" t="n">
        <v>918</v>
      </c>
      <c r="G385" s="10" t="n">
        <v>1031</v>
      </c>
      <c r="H385" s="10" t="n">
        <v>563</v>
      </c>
      <c r="I385" s="10" t="n">
        <v>-1928</v>
      </c>
      <c r="J385" s="10" t="n">
        <v>610</v>
      </c>
      <c r="K385" s="10" t="n">
        <v>-843</v>
      </c>
    </row>
    <row r="386" customFormat="false" ht="15" hidden="false" customHeight="false" outlineLevel="0" collapsed="false">
      <c r="A386" s="9" t="s">
        <v>214</v>
      </c>
      <c r="B386" s="10" t="n">
        <v>-717</v>
      </c>
      <c r="C386" s="10" t="n">
        <v>-1288</v>
      </c>
      <c r="D386" s="10" t="n">
        <v>-1151</v>
      </c>
      <c r="E386" s="10" t="n">
        <v>-641</v>
      </c>
      <c r="F386" s="10" t="n">
        <v>-432</v>
      </c>
      <c r="G386" s="10" t="n">
        <v>-883</v>
      </c>
      <c r="H386" s="10" t="n">
        <v>-1047</v>
      </c>
      <c r="I386" s="10" t="n">
        <v>-1433</v>
      </c>
      <c r="J386" s="10" t="n">
        <v>-930</v>
      </c>
      <c r="K386" s="10" t="n">
        <v>-1744</v>
      </c>
    </row>
    <row r="387" customFormat="false" ht="15" hidden="false" customHeight="false" outlineLevel="0" collapsed="false">
      <c r="A387" s="9" t="s">
        <v>215</v>
      </c>
      <c r="B387" s="10" t="n">
        <v>-270</v>
      </c>
      <c r="C387" s="10" t="n">
        <v>-408</v>
      </c>
      <c r="D387" s="10" t="n">
        <v>-234</v>
      </c>
      <c r="E387" s="10" t="n">
        <v>-409</v>
      </c>
      <c r="F387" s="10" t="n">
        <v>-345</v>
      </c>
      <c r="G387" s="10" t="n">
        <v>-647</v>
      </c>
      <c r="H387" s="10" t="n">
        <v>-656</v>
      </c>
      <c r="I387" s="10" t="n">
        <v>-456</v>
      </c>
      <c r="J387" s="10" t="n">
        <v>-417</v>
      </c>
      <c r="K387" s="10" t="n">
        <v>-358</v>
      </c>
    </row>
    <row r="388" customFormat="false" ht="15" hidden="false" customHeight="false" outlineLevel="0" collapsed="false">
      <c r="A388" s="9" t="s">
        <v>216</v>
      </c>
      <c r="B388" s="10" t="n">
        <v>-671</v>
      </c>
      <c r="C388" s="10" t="n">
        <v>-290</v>
      </c>
      <c r="D388" s="10" t="n">
        <v>604</v>
      </c>
      <c r="E388" s="10" t="n">
        <v>667</v>
      </c>
      <c r="F388" s="10" t="n">
        <v>-269</v>
      </c>
      <c r="G388" s="10" t="n">
        <v>207</v>
      </c>
      <c r="H388" s="10" t="n">
        <v>566</v>
      </c>
      <c r="I388" s="10" t="n">
        <v>-105</v>
      </c>
      <c r="J388" s="10" t="n">
        <v>473</v>
      </c>
      <c r="K388" s="10" t="n">
        <v>949</v>
      </c>
    </row>
    <row r="389" customFormat="false" ht="15" hidden="false" customHeight="false" outlineLevel="0" collapsed="false">
      <c r="A389" s="9" t="s">
        <v>217</v>
      </c>
      <c r="B389" s="10" t="n">
        <v>885</v>
      </c>
      <c r="C389" s="10" t="n">
        <v>1596</v>
      </c>
      <c r="D389" s="10" t="n">
        <v>1660</v>
      </c>
      <c r="E389" s="10" t="n">
        <v>2799</v>
      </c>
      <c r="F389" s="10" t="n">
        <v>1124</v>
      </c>
      <c r="G389" s="10" t="n">
        <v>1860</v>
      </c>
      <c r="H389" s="10" t="n">
        <v>2419</v>
      </c>
      <c r="I389" s="10" t="n">
        <v>8019</v>
      </c>
      <c r="J389" s="10" t="n">
        <v>5574</v>
      </c>
      <c r="K389" s="10" t="n">
        <v>13695</v>
      </c>
    </row>
    <row r="390" customFormat="false" ht="15" hidden="false" customHeight="false" outlineLevel="0" collapsed="false">
      <c r="A390" s="9" t="s">
        <v>218</v>
      </c>
      <c r="B390" s="10" t="n">
        <v>68</v>
      </c>
      <c r="C390" s="10" t="n">
        <v>-430</v>
      </c>
      <c r="D390" s="10" t="n">
        <v>98</v>
      </c>
      <c r="E390" s="10" t="n">
        <v>229</v>
      </c>
      <c r="F390" s="10" t="n">
        <v>-74</v>
      </c>
      <c r="G390" s="10" t="n">
        <v>-754</v>
      </c>
      <c r="H390" s="10" t="n">
        <v>-693</v>
      </c>
      <c r="I390" s="10" t="n">
        <v>-1187</v>
      </c>
      <c r="J390" s="10" t="n">
        <v>-457</v>
      </c>
      <c r="K390" s="10" t="n">
        <v>-1302</v>
      </c>
    </row>
    <row r="391" customFormat="false" ht="15" hidden="false" customHeight="false" outlineLevel="0" collapsed="false">
      <c r="A391" s="12" t="s">
        <v>219</v>
      </c>
      <c r="B391" s="28" t="n">
        <v>-444</v>
      </c>
      <c r="C391" s="28" t="n">
        <v>535</v>
      </c>
      <c r="D391" s="28" t="n">
        <v>1662</v>
      </c>
      <c r="E391" s="28" t="n">
        <v>2583</v>
      </c>
      <c r="F391" s="28" t="n">
        <v>1161</v>
      </c>
      <c r="G391" s="28" t="n">
        <v>1528</v>
      </c>
      <c r="H391" s="28" t="n">
        <v>2508</v>
      </c>
      <c r="I391" s="28" t="n">
        <v>4987</v>
      </c>
      <c r="J391" s="28" t="n">
        <v>5188</v>
      </c>
      <c r="K391" s="28" t="n">
        <v>10680</v>
      </c>
    </row>
    <row r="392" customFormat="false" ht="15" hidden="false" customHeight="false" outlineLevel="0" collapsed="false">
      <c r="A392" s="9" t="s">
        <v>220</v>
      </c>
      <c r="B392" s="10" t="n">
        <v>-217</v>
      </c>
      <c r="C392" s="10" t="n">
        <v>-374</v>
      </c>
      <c r="D392" s="10" t="n">
        <v>-533</v>
      </c>
      <c r="E392" s="10" t="n">
        <v>-883</v>
      </c>
      <c r="F392" s="10" t="n">
        <v>-186</v>
      </c>
      <c r="G392" s="10" t="n">
        <v>-359</v>
      </c>
      <c r="H392" s="10" t="n">
        <v>-606</v>
      </c>
      <c r="I392" s="10" t="n">
        <v>-1277</v>
      </c>
      <c r="J392" s="10" t="n">
        <v>-397</v>
      </c>
      <c r="K392" s="10" t="n">
        <v>-783</v>
      </c>
    </row>
    <row r="393" customFormat="false" ht="15" hidden="false" customHeight="false" outlineLevel="0" collapsed="false">
      <c r="A393" s="9" t="s">
        <v>221</v>
      </c>
      <c r="B393" s="10" t="n">
        <v>4</v>
      </c>
      <c r="C393" s="10" t="n">
        <v>13</v>
      </c>
      <c r="D393" s="10" t="n">
        <v>16</v>
      </c>
      <c r="E393" s="10" t="n">
        <v>25</v>
      </c>
      <c r="F393" s="10" t="n">
        <v>34</v>
      </c>
      <c r="G393" s="10" t="n">
        <v>34</v>
      </c>
      <c r="H393" s="10" t="n">
        <v>33</v>
      </c>
      <c r="I393" s="10" t="n">
        <v>39</v>
      </c>
      <c r="J393" s="10" t="n">
        <v>177</v>
      </c>
      <c r="K393" s="10" t="n">
        <v>201</v>
      </c>
    </row>
    <row r="394" customFormat="false" ht="15" hidden="false" customHeight="false" outlineLevel="0" collapsed="false">
      <c r="A394" s="9" t="s">
        <v>222</v>
      </c>
      <c r="B394" s="10" t="n">
        <v>-91</v>
      </c>
      <c r="C394" s="10" t="n">
        <v>-108</v>
      </c>
      <c r="D394" s="10" t="n">
        <v>-110</v>
      </c>
      <c r="E394" s="10" t="n">
        <v>-114</v>
      </c>
      <c r="F394" s="10" t="n">
        <v>-6</v>
      </c>
      <c r="G394" s="10" t="n">
        <v>-30</v>
      </c>
      <c r="H394" s="10" t="n">
        <v>-57</v>
      </c>
      <c r="I394" s="10" t="n">
        <v>-87</v>
      </c>
      <c r="J394" s="10" t="n">
        <v>-10</v>
      </c>
      <c r="K394" s="10" t="n">
        <v>-20</v>
      </c>
    </row>
    <row r="395" customFormat="false" ht="15" hidden="false" customHeight="false" outlineLevel="0" collapsed="false">
      <c r="A395" s="9" t="s">
        <v>223</v>
      </c>
      <c r="B395" s="10" t="n">
        <v>29</v>
      </c>
      <c r="C395" s="10" t="n">
        <v>31</v>
      </c>
      <c r="D395" s="10" t="n">
        <v>32</v>
      </c>
      <c r="E395" s="10" t="n">
        <v>244</v>
      </c>
      <c r="F395" s="10" t="n">
        <v>90</v>
      </c>
      <c r="G395" s="10" t="n">
        <v>91</v>
      </c>
      <c r="H395" s="10" t="n">
        <v>248</v>
      </c>
      <c r="I395" s="10" t="n">
        <v>464</v>
      </c>
      <c r="J395" s="10" t="n">
        <v>44</v>
      </c>
      <c r="K395" s="10" t="n">
        <v>78</v>
      </c>
    </row>
    <row r="396" customFormat="false" ht="15" hidden="false" customHeight="false" outlineLevel="0" collapsed="false">
      <c r="A396" s="9" t="s">
        <v>224</v>
      </c>
      <c r="B396" s="10" t="n">
        <v>0</v>
      </c>
      <c r="C396" s="10" t="n">
        <v>639</v>
      </c>
      <c r="D396" s="10" t="n">
        <v>639</v>
      </c>
      <c r="E396" s="10" t="n">
        <v>813</v>
      </c>
      <c r="F396" s="10" t="n">
        <v>0</v>
      </c>
      <c r="G396" s="10" t="n">
        <v>1</v>
      </c>
      <c r="H396" s="10" t="n">
        <v>60</v>
      </c>
      <c r="I396" s="10" t="n">
        <v>60</v>
      </c>
      <c r="J396" s="10" t="n">
        <v>598</v>
      </c>
      <c r="K396" s="10" t="n">
        <v>594</v>
      </c>
    </row>
    <row r="397" customFormat="false" ht="15" hidden="false" customHeight="false" outlineLevel="0" collapsed="false">
      <c r="A397" s="9" t="s">
        <v>225</v>
      </c>
      <c r="B397" s="10" t="n">
        <v>-9</v>
      </c>
      <c r="C397" s="10" t="n">
        <v>51</v>
      </c>
      <c r="D397" s="10" t="n">
        <v>94</v>
      </c>
      <c r="E397" s="10" t="n">
        <v>-122</v>
      </c>
      <c r="F397" s="10" t="n">
        <v>-25</v>
      </c>
      <c r="G397" s="10" t="n">
        <v>49</v>
      </c>
      <c r="H397" s="10" t="n">
        <v>-58</v>
      </c>
      <c r="I397" s="10" t="n">
        <v>47</v>
      </c>
      <c r="J397" s="10" t="n">
        <v>-4703</v>
      </c>
      <c r="K397" s="10" t="n">
        <v>-4132</v>
      </c>
    </row>
    <row r="398" customFormat="false" ht="15" hidden="false" customHeight="false" outlineLevel="0" collapsed="false">
      <c r="A398" s="12" t="s">
        <v>226</v>
      </c>
      <c r="B398" s="28" t="n">
        <v>-285</v>
      </c>
      <c r="C398" s="28" t="n">
        <v>252</v>
      </c>
      <c r="D398" s="28" t="n">
        <v>138</v>
      </c>
      <c r="E398" s="28" t="n">
        <v>-37</v>
      </c>
      <c r="F398" s="28" t="n">
        <v>-93</v>
      </c>
      <c r="G398" s="28" t="n">
        <v>-214</v>
      </c>
      <c r="H398" s="28" t="n">
        <v>-381</v>
      </c>
      <c r="I398" s="28" t="n">
        <v>-755</v>
      </c>
      <c r="J398" s="28" t="n">
        <v>-4291</v>
      </c>
      <c r="K398" s="28" t="n">
        <v>-4062</v>
      </c>
    </row>
    <row r="399" customFormat="false" ht="15" hidden="false" customHeight="false" outlineLevel="0" collapsed="false">
      <c r="A399" s="9" t="s">
        <v>227</v>
      </c>
      <c r="B399" s="10" t="n">
        <v>0</v>
      </c>
      <c r="C399" s="10" t="n">
        <v>0</v>
      </c>
      <c r="D399" s="10" t="n">
        <v>0</v>
      </c>
      <c r="E399" s="10" t="n">
        <v>0</v>
      </c>
      <c r="F399" s="10" t="n">
        <v>0</v>
      </c>
      <c r="G399" s="10" t="n">
        <v>0</v>
      </c>
      <c r="H399" s="10" t="n">
        <v>0</v>
      </c>
      <c r="I399" s="10" t="n">
        <v>0</v>
      </c>
      <c r="J399" s="10" t="n">
        <v>2567</v>
      </c>
      <c r="K399" s="10" t="n">
        <v>2567</v>
      </c>
    </row>
    <row r="400" customFormat="false" ht="15" hidden="false" customHeight="false" outlineLevel="0" collapsed="false">
      <c r="A400" s="9" t="s">
        <v>228</v>
      </c>
      <c r="B400" s="10" t="n">
        <v>-23</v>
      </c>
      <c r="C400" s="10" t="n">
        <v>-23</v>
      </c>
      <c r="D400" s="10" t="n">
        <v>-23</v>
      </c>
      <c r="E400" s="10" t="n">
        <v>-23</v>
      </c>
      <c r="F400" s="10" t="n">
        <v>0</v>
      </c>
      <c r="G400" s="10" t="n">
        <v>0</v>
      </c>
      <c r="H400" s="10" t="n">
        <v>0</v>
      </c>
      <c r="I400" s="10" t="n">
        <v>0</v>
      </c>
      <c r="J400" s="10" t="n">
        <v>0</v>
      </c>
      <c r="K400" s="10" t="n">
        <v>0</v>
      </c>
    </row>
    <row r="401" customFormat="false" ht="15" hidden="false" customHeight="false" outlineLevel="0" collapsed="false">
      <c r="A401" s="9" t="s">
        <v>229</v>
      </c>
      <c r="B401" s="10" t="n">
        <v>2023</v>
      </c>
      <c r="C401" s="10" t="n">
        <v>2964</v>
      </c>
      <c r="D401" s="10" t="n">
        <v>2933</v>
      </c>
      <c r="E401" s="10" t="n">
        <v>2933</v>
      </c>
      <c r="F401" s="10" t="n">
        <v>0</v>
      </c>
      <c r="G401" s="10" t="n">
        <v>0</v>
      </c>
      <c r="H401" s="10" t="n">
        <v>0</v>
      </c>
      <c r="I401" s="10" t="n">
        <v>0</v>
      </c>
      <c r="J401" s="10" t="n">
        <v>0</v>
      </c>
      <c r="K401" s="10" t="n">
        <v>0</v>
      </c>
    </row>
    <row r="402" customFormat="false" ht="15" hidden="false" customHeight="false" outlineLevel="0" collapsed="false">
      <c r="A402" s="9" t="s">
        <v>230</v>
      </c>
      <c r="B402" s="10" t="n">
        <v>0</v>
      </c>
      <c r="C402" s="10" t="n">
        <v>0</v>
      </c>
      <c r="D402" s="10" t="n">
        <v>0</v>
      </c>
      <c r="E402" s="10" t="n">
        <v>0</v>
      </c>
      <c r="F402" s="10" t="n">
        <v>-69</v>
      </c>
      <c r="G402" s="10" t="n">
        <v>-139</v>
      </c>
      <c r="H402" s="10" t="n">
        <v>-207</v>
      </c>
      <c r="I402" s="10" t="n">
        <v>-275</v>
      </c>
      <c r="J402" s="10" t="n">
        <v>-137</v>
      </c>
      <c r="K402" s="10" t="n">
        <v>-273</v>
      </c>
    </row>
    <row r="403" customFormat="false" ht="15" hidden="false" customHeight="false" outlineLevel="0" collapsed="false">
      <c r="A403" s="9" t="s">
        <v>231</v>
      </c>
      <c r="B403" s="10" t="n">
        <v>0</v>
      </c>
      <c r="C403" s="10" t="n">
        <v>0</v>
      </c>
      <c r="D403" s="10" t="n">
        <v>-40</v>
      </c>
      <c r="E403" s="10" t="n">
        <v>-43</v>
      </c>
      <c r="F403" s="10" t="n">
        <v>-1101</v>
      </c>
      <c r="G403" s="10" t="n">
        <v>-1581</v>
      </c>
      <c r="H403" s="10" t="n">
        <v>-2241</v>
      </c>
      <c r="I403" s="10" t="n">
        <v>-3316</v>
      </c>
      <c r="J403" s="10" t="n">
        <v>-1278</v>
      </c>
      <c r="K403" s="10" t="n">
        <v>-3671</v>
      </c>
    </row>
    <row r="404" customFormat="false" ht="15" hidden="false" customHeight="false" outlineLevel="0" collapsed="false">
      <c r="A404" s="9" t="s">
        <v>232</v>
      </c>
      <c r="B404" s="10" t="n">
        <v>-66</v>
      </c>
      <c r="C404" s="10" t="n">
        <v>-36</v>
      </c>
      <c r="D404" s="10" t="n">
        <v>620</v>
      </c>
      <c r="E404" s="10" t="n">
        <v>785</v>
      </c>
      <c r="F404" s="10" t="n">
        <v>-86</v>
      </c>
      <c r="G404" s="10" t="n">
        <v>-142</v>
      </c>
      <c r="H404" s="10" t="n">
        <v>-187</v>
      </c>
      <c r="I404" s="10" t="n">
        <v>-221</v>
      </c>
      <c r="J404" s="10" t="n">
        <v>-711</v>
      </c>
      <c r="K404" s="10" t="n">
        <v>-925</v>
      </c>
    </row>
    <row r="405" customFormat="false" ht="15" hidden="false" customHeight="false" outlineLevel="0" collapsed="false">
      <c r="A405" s="12" t="s">
        <v>233</v>
      </c>
      <c r="B405" s="28" t="n">
        <v>1934</v>
      </c>
      <c r="C405" s="28" t="n">
        <v>2904</v>
      </c>
      <c r="D405" s="28" t="n">
        <v>3489</v>
      </c>
      <c r="E405" s="28" t="n">
        <v>3652</v>
      </c>
      <c r="F405" s="28" t="n">
        <v>-1257</v>
      </c>
      <c r="G405" s="28" t="n">
        <v>-1861</v>
      </c>
      <c r="H405" s="28" t="n">
        <v>-2635</v>
      </c>
      <c r="I405" s="28" t="n">
        <v>-3813</v>
      </c>
      <c r="J405" s="28" t="n">
        <v>442</v>
      </c>
      <c r="K405" s="28" t="n">
        <v>-2301</v>
      </c>
    </row>
    <row r="406" customFormat="false" ht="15" hidden="false" customHeight="false" outlineLevel="0" collapsed="false">
      <c r="A406" s="9" t="s">
        <v>234</v>
      </c>
      <c r="B406" s="10" t="n">
        <v>-32</v>
      </c>
      <c r="C406" s="10" t="n">
        <v>-66</v>
      </c>
      <c r="D406" s="10" t="n">
        <v>-48</v>
      </c>
      <c r="E406" s="10" t="n">
        <v>-147</v>
      </c>
      <c r="F406" s="10" t="n">
        <v>90</v>
      </c>
      <c r="G406" s="10" t="n">
        <v>235</v>
      </c>
      <c r="H406" s="10" t="n">
        <v>250</v>
      </c>
      <c r="I406" s="10" t="n">
        <v>224</v>
      </c>
      <c r="J406" s="10" t="n">
        <v>-16</v>
      </c>
      <c r="K406" s="10" t="n">
        <v>-46</v>
      </c>
    </row>
    <row r="407" customFormat="false" ht="15" hidden="false" customHeight="false" outlineLevel="0" collapsed="false">
      <c r="A407" s="12" t="s">
        <v>235</v>
      </c>
      <c r="B407" s="28" t="n">
        <v>1704</v>
      </c>
      <c r="C407" s="28" t="n">
        <v>4228</v>
      </c>
      <c r="D407" s="28" t="n">
        <v>5844</v>
      </c>
      <c r="E407" s="28" t="n">
        <v>6654</v>
      </c>
      <c r="F407" s="28" t="n">
        <v>-98</v>
      </c>
      <c r="G407" s="28" t="n">
        <v>-312</v>
      </c>
      <c r="H407" s="28" t="n">
        <v>-259</v>
      </c>
      <c r="I407" s="28" t="n">
        <v>643</v>
      </c>
      <c r="J407" s="28" t="n">
        <v>1324</v>
      </c>
      <c r="K407" s="28" t="n">
        <v>4273</v>
      </c>
    </row>
    <row r="409" customFormat="false" ht="15" hidden="false" customHeight="false" outlineLevel="0" collapsed="false">
      <c r="A409" s="8" t="s">
        <v>287</v>
      </c>
      <c r="B409" s="8"/>
      <c r="C409" s="8"/>
      <c r="D409" s="8"/>
      <c r="E409" s="8"/>
      <c r="F409" s="8"/>
      <c r="G409" s="8"/>
      <c r="H409" s="8"/>
      <c r="I409" s="8"/>
      <c r="J409" s="8"/>
      <c r="K409" s="8"/>
    </row>
    <row r="410" customFormat="false" ht="15" hidden="false" customHeight="false" outlineLevel="0" collapsed="false">
      <c r="A410" s="2" t="s">
        <v>288</v>
      </c>
    </row>
    <row r="411" customFormat="false" ht="15" hidden="false" customHeight="false" outlineLevel="0" collapsed="false">
      <c r="A411" s="20" t="s">
        <v>289</v>
      </c>
      <c r="B411" s="20"/>
      <c r="C411" s="20"/>
      <c r="D411" s="20"/>
      <c r="E411" s="20"/>
      <c r="F411" s="20"/>
      <c r="G411" s="20"/>
      <c r="H411" s="20"/>
      <c r="I411" s="20"/>
      <c r="J411" s="20"/>
      <c r="K411" s="20"/>
    </row>
    <row r="412" customFormat="false" ht="15" hidden="false" customHeight="false" outlineLevel="0" collapsed="false">
      <c r="A412" s="9" t="s">
        <v>37</v>
      </c>
      <c r="B412" s="17"/>
      <c r="C412" s="17"/>
      <c r="D412" s="17"/>
      <c r="E412" s="10" t="n">
        <v>18952</v>
      </c>
      <c r="F412" s="17"/>
      <c r="G412" s="17"/>
      <c r="H412" s="17"/>
      <c r="I412" s="10" t="n">
        <v>20934</v>
      </c>
      <c r="J412" s="17"/>
      <c r="K412" s="17"/>
    </row>
    <row r="413" customFormat="false" ht="15" hidden="false" customHeight="false" outlineLevel="0" collapsed="false">
      <c r="A413" s="9" t="s">
        <v>38</v>
      </c>
      <c r="B413" s="17"/>
      <c r="C413" s="17"/>
      <c r="D413" s="17"/>
      <c r="E413" s="10" t="n">
        <v>15983</v>
      </c>
      <c r="F413" s="17"/>
      <c r="G413" s="17"/>
      <c r="H413" s="17"/>
      <c r="I413" s="10" t="n">
        <v>17134</v>
      </c>
      <c r="J413" s="17"/>
      <c r="K413" s="17"/>
    </row>
    <row r="414" customFormat="false" ht="15" hidden="false" customHeight="false" outlineLevel="0" collapsed="false">
      <c r="A414" s="9" t="s">
        <v>39</v>
      </c>
      <c r="B414" s="17"/>
      <c r="C414" s="17"/>
      <c r="D414" s="17"/>
      <c r="E414" s="10" t="n">
        <v>34935</v>
      </c>
      <c r="F414" s="17"/>
      <c r="G414" s="17"/>
      <c r="H414" s="17"/>
      <c r="I414" s="10" t="n">
        <v>38068</v>
      </c>
      <c r="J414" s="17"/>
      <c r="K414" s="17"/>
    </row>
    <row r="415" customFormat="false" ht="15" hidden="false" customHeight="false" outlineLevel="0" collapsed="false">
      <c r="A415" s="9" t="s">
        <v>40</v>
      </c>
      <c r="B415" s="17"/>
      <c r="C415" s="17"/>
      <c r="D415" s="17"/>
      <c r="E415" s="10" t="n">
        <v>17989</v>
      </c>
      <c r="F415" s="17"/>
      <c r="G415" s="17"/>
      <c r="H415" s="17"/>
      <c r="I415" s="10" t="n">
        <v>18759</v>
      </c>
      <c r="J415" s="17"/>
      <c r="K415" s="17"/>
    </row>
    <row r="416" customFormat="false" ht="15" hidden="false" customHeight="false" outlineLevel="0" collapsed="false">
      <c r="A416" s="9" t="s">
        <v>41</v>
      </c>
      <c r="B416" s="17"/>
      <c r="C416" s="17"/>
      <c r="D416" s="17"/>
      <c r="E416" s="10" t="n">
        <v>10861</v>
      </c>
      <c r="F416" s="17"/>
      <c r="G416" s="17"/>
      <c r="H416" s="17"/>
      <c r="I416" s="10" t="n">
        <v>11774</v>
      </c>
      <c r="J416" s="17"/>
      <c r="K416" s="17"/>
    </row>
    <row r="417" customFormat="false" ht="15" hidden="false" customHeight="false" outlineLevel="0" collapsed="false">
      <c r="A417" s="9" t="s">
        <v>42</v>
      </c>
      <c r="B417" s="17"/>
      <c r="C417" s="17"/>
      <c r="D417" s="17"/>
      <c r="E417" s="10" t="n">
        <v>6085</v>
      </c>
      <c r="F417" s="17"/>
      <c r="G417" s="17"/>
      <c r="H417" s="17"/>
      <c r="I417" s="10" t="n">
        <v>7535</v>
      </c>
      <c r="J417" s="17"/>
      <c r="K417" s="17"/>
    </row>
    <row r="418" customFormat="false" ht="15" hidden="false" customHeight="false" outlineLevel="0" collapsed="false">
      <c r="A418" s="9" t="s">
        <v>290</v>
      </c>
      <c r="B418" s="17"/>
      <c r="C418" s="17"/>
      <c r="D418" s="17"/>
      <c r="E418" s="10" t="n">
        <v>4632</v>
      </c>
      <c r="F418" s="17"/>
      <c r="G418" s="17"/>
      <c r="H418" s="17"/>
      <c r="I418" s="10" t="n">
        <v>4949</v>
      </c>
      <c r="J418" s="17"/>
      <c r="K418" s="17"/>
    </row>
    <row r="419" customFormat="false" ht="15" hidden="false" customHeight="false" outlineLevel="0" collapsed="false">
      <c r="A419" s="9" t="s">
        <v>291</v>
      </c>
      <c r="B419" s="17"/>
      <c r="C419" s="17"/>
      <c r="D419" s="17"/>
      <c r="E419" s="10" t="n">
        <v>982</v>
      </c>
      <c r="F419" s="17"/>
      <c r="G419" s="17"/>
      <c r="H419" s="17"/>
      <c r="I419" s="10" t="n">
        <v>1197</v>
      </c>
      <c r="J419" s="17"/>
      <c r="K419" s="17"/>
    </row>
    <row r="420" customFormat="false" ht="15" hidden="false" customHeight="false" outlineLevel="0" collapsed="false">
      <c r="A420" s="9" t="s">
        <v>292</v>
      </c>
      <c r="B420" s="17"/>
      <c r="C420" s="17"/>
      <c r="D420" s="17"/>
      <c r="E420" s="10" t="n">
        <v>471</v>
      </c>
      <c r="F420" s="17"/>
      <c r="G420" s="17"/>
      <c r="H420" s="17"/>
      <c r="I420" s="10" t="n">
        <v>1388</v>
      </c>
      <c r="J420" s="17"/>
      <c r="K420" s="17"/>
    </row>
    <row r="421" customFormat="false" ht="15" hidden="false" customHeight="false" outlineLevel="0" collapsed="false">
      <c r="A421" s="9" t="s">
        <v>46</v>
      </c>
      <c r="B421" s="17"/>
      <c r="C421" s="17"/>
      <c r="D421" s="17"/>
      <c r="E421" s="10" t="n">
        <v>120</v>
      </c>
      <c r="F421" s="17"/>
      <c r="G421" s="17"/>
      <c r="H421" s="17"/>
      <c r="I421" s="10" t="n">
        <v>186</v>
      </c>
      <c r="J421" s="17"/>
      <c r="K421" s="17"/>
    </row>
    <row r="422" customFormat="false" ht="15" hidden="false" customHeight="false" outlineLevel="0" collapsed="false">
      <c r="A422" s="9" t="s">
        <v>47</v>
      </c>
      <c r="B422" s="17"/>
      <c r="C422" s="17"/>
      <c r="D422" s="17"/>
      <c r="E422" s="10" t="n">
        <v>536</v>
      </c>
      <c r="F422" s="17"/>
      <c r="G422" s="17"/>
      <c r="H422" s="17"/>
      <c r="I422" s="10" t="n">
        <v>459</v>
      </c>
      <c r="J422" s="17"/>
      <c r="K422" s="17"/>
    </row>
    <row r="423" customFormat="false" ht="15" hidden="false" customHeight="false" outlineLevel="0" collapsed="false">
      <c r="A423" s="9" t="s">
        <v>48</v>
      </c>
      <c r="B423" s="17"/>
      <c r="C423" s="17"/>
      <c r="D423" s="17"/>
      <c r="E423" s="10" t="n">
        <v>1372</v>
      </c>
      <c r="F423" s="17"/>
      <c r="G423" s="17"/>
      <c r="H423" s="17"/>
      <c r="I423" s="10" t="n">
        <v>795</v>
      </c>
      <c r="J423" s="17"/>
      <c r="K423" s="17"/>
    </row>
    <row r="424" customFormat="false" ht="15" hidden="false" customHeight="false" outlineLevel="0" collapsed="false">
      <c r="A424" s="9" t="s">
        <v>293</v>
      </c>
      <c r="B424" s="17"/>
      <c r="C424" s="17"/>
      <c r="D424" s="17"/>
      <c r="E424" s="10" t="n">
        <v>2498</v>
      </c>
      <c r="F424" s="17"/>
      <c r="G424" s="17"/>
      <c r="H424" s="17"/>
      <c r="I424" s="10" t="n">
        <v>2828</v>
      </c>
      <c r="J424" s="17"/>
      <c r="K424" s="17"/>
    </row>
    <row r="425" customFormat="false" ht="15" hidden="false" customHeight="false" outlineLevel="0" collapsed="false">
      <c r="A425" s="9" t="s">
        <v>50</v>
      </c>
      <c r="B425" s="17"/>
      <c r="C425" s="17"/>
      <c r="D425" s="17"/>
      <c r="E425" s="10" t="n">
        <v>939</v>
      </c>
      <c r="F425" s="17"/>
      <c r="G425" s="17"/>
      <c r="H425" s="17"/>
      <c r="I425" s="10" t="n">
        <v>-2051</v>
      </c>
      <c r="J425" s="17"/>
      <c r="K425" s="17"/>
    </row>
    <row r="426" customFormat="false" ht="15" hidden="false" customHeight="false" outlineLevel="0" collapsed="false">
      <c r="A426" s="9" t="s">
        <v>294</v>
      </c>
      <c r="B426" s="17"/>
      <c r="C426" s="17"/>
      <c r="D426" s="17"/>
      <c r="E426" s="10" t="n">
        <v>1559</v>
      </c>
      <c r="F426" s="17"/>
      <c r="G426" s="17"/>
      <c r="H426" s="17"/>
      <c r="I426" s="10" t="n">
        <v>4879</v>
      </c>
      <c r="J426" s="17"/>
      <c r="K426" s="17"/>
    </row>
    <row r="427" customFormat="false" ht="15" hidden="false" customHeight="false" outlineLevel="0" collapsed="false">
      <c r="A427" s="9" t="s">
        <v>295</v>
      </c>
      <c r="B427" s="17"/>
      <c r="C427" s="17"/>
      <c r="D427" s="17"/>
      <c r="E427" s="10" t="n">
        <v>-7</v>
      </c>
      <c r="F427" s="17"/>
      <c r="G427" s="17"/>
      <c r="H427" s="17"/>
      <c r="I427" s="10" t="n">
        <v>4</v>
      </c>
      <c r="J427" s="17"/>
      <c r="K427" s="17"/>
    </row>
    <row r="428" customFormat="false" ht="15" hidden="false" customHeight="false" outlineLevel="0" collapsed="false">
      <c r="A428" s="9" t="s">
        <v>296</v>
      </c>
      <c r="B428" s="17"/>
      <c r="C428" s="17"/>
      <c r="D428" s="17"/>
      <c r="E428" s="10" t="n">
        <v>1552</v>
      </c>
      <c r="F428" s="17"/>
      <c r="G428" s="17"/>
      <c r="H428" s="17"/>
      <c r="I428" s="10" t="n">
        <v>4884</v>
      </c>
      <c r="J428" s="17"/>
      <c r="K428" s="17"/>
    </row>
    <row r="429" customFormat="false" ht="15" hidden="false" customHeight="false" outlineLevel="0" collapsed="false">
      <c r="A429" s="9" t="s">
        <v>56</v>
      </c>
      <c r="B429" s="17"/>
      <c r="C429" s="17"/>
      <c r="D429" s="17"/>
      <c r="E429" s="10" t="n">
        <v>275</v>
      </c>
      <c r="F429" s="17"/>
      <c r="G429" s="17"/>
      <c r="H429" s="17"/>
      <c r="I429" s="10" t="n">
        <v>272</v>
      </c>
      <c r="J429" s="17"/>
      <c r="K429" s="17"/>
    </row>
    <row r="430" customFormat="false" ht="15" hidden="false" customHeight="false" outlineLevel="0" collapsed="false">
      <c r="A430" s="9" t="s">
        <v>57</v>
      </c>
      <c r="B430" s="17"/>
      <c r="C430" s="17"/>
      <c r="D430" s="17"/>
      <c r="E430" s="10" t="n">
        <v>278</v>
      </c>
      <c r="F430" s="17"/>
      <c r="G430" s="17"/>
      <c r="H430" s="17"/>
      <c r="I430" s="10" t="n">
        <v>276</v>
      </c>
      <c r="J430" s="17"/>
      <c r="K430" s="17"/>
    </row>
    <row r="431" customFormat="false" ht="15" hidden="false" customHeight="false" outlineLevel="0" collapsed="false">
      <c r="A431" s="20" t="s">
        <v>297</v>
      </c>
      <c r="B431" s="20"/>
      <c r="C431" s="20"/>
      <c r="D431" s="20"/>
      <c r="E431" s="20"/>
      <c r="F431" s="20"/>
      <c r="G431" s="20"/>
      <c r="H431" s="20"/>
      <c r="I431" s="20"/>
      <c r="J431" s="20"/>
      <c r="K431" s="20"/>
    </row>
    <row r="432" customFormat="false" ht="15" hidden="false" customHeight="false" outlineLevel="0" collapsed="false">
      <c r="A432" s="9" t="s">
        <v>298</v>
      </c>
      <c r="B432" s="17"/>
      <c r="C432" s="17"/>
      <c r="D432" s="17"/>
      <c r="E432" s="10" t="n">
        <v>18127</v>
      </c>
      <c r="F432" s="17"/>
      <c r="G432" s="17"/>
      <c r="H432" s="17"/>
      <c r="I432" s="10" t="n">
        <v>19767</v>
      </c>
      <c r="J432" s="17"/>
      <c r="K432" s="17"/>
    </row>
    <row r="433" customFormat="false" ht="15" hidden="false" customHeight="false" outlineLevel="0" collapsed="false">
      <c r="A433" s="9" t="s">
        <v>299</v>
      </c>
      <c r="B433" s="17"/>
      <c r="C433" s="17"/>
      <c r="D433" s="17"/>
      <c r="E433" s="10" t="n">
        <v>7550</v>
      </c>
      <c r="F433" s="17"/>
      <c r="G433" s="17"/>
      <c r="H433" s="17"/>
      <c r="I433" s="10" t="n">
        <v>9642</v>
      </c>
      <c r="J433" s="17"/>
      <c r="K433" s="17"/>
    </row>
    <row r="434" customFormat="false" ht="15" hidden="false" customHeight="false" outlineLevel="0" collapsed="false">
      <c r="A434" s="9" t="s">
        <v>300</v>
      </c>
      <c r="B434" s="17"/>
      <c r="C434" s="17"/>
      <c r="D434" s="17"/>
      <c r="E434" s="10" t="n">
        <v>9701</v>
      </c>
      <c r="F434" s="17"/>
      <c r="G434" s="17"/>
      <c r="H434" s="17"/>
      <c r="I434" s="10" t="n">
        <v>9110</v>
      </c>
      <c r="J434" s="17"/>
      <c r="K434" s="17"/>
    </row>
    <row r="435" customFormat="false" ht="15" hidden="false" customHeight="false" outlineLevel="0" collapsed="false">
      <c r="A435" s="9" t="s">
        <v>301</v>
      </c>
      <c r="B435" s="17"/>
      <c r="C435" s="17"/>
      <c r="D435" s="17"/>
      <c r="E435" s="10" t="n">
        <v>-442</v>
      </c>
      <c r="F435" s="17"/>
      <c r="G435" s="17"/>
      <c r="H435" s="17"/>
      <c r="I435" s="10" t="n">
        <v>-451</v>
      </c>
      <c r="J435" s="17"/>
      <c r="K435" s="17"/>
    </row>
    <row r="436" customFormat="false" ht="15" hidden="false" customHeight="false" outlineLevel="0" collapsed="false">
      <c r="A436" s="9" t="s">
        <v>302</v>
      </c>
      <c r="B436" s="17"/>
      <c r="C436" s="17"/>
      <c r="D436" s="17"/>
      <c r="E436" s="10" t="n">
        <v>34935</v>
      </c>
      <c r="F436" s="17"/>
      <c r="G436" s="17"/>
      <c r="H436" s="17"/>
      <c r="I436" s="10" t="n">
        <v>38068</v>
      </c>
      <c r="J436" s="17"/>
      <c r="K436" s="17"/>
    </row>
    <row r="437" customFormat="false" ht="15" hidden="false" customHeight="false" outlineLevel="0" collapsed="false">
      <c r="A437" s="9" t="s">
        <v>303</v>
      </c>
      <c r="B437" s="17"/>
      <c r="C437" s="17"/>
      <c r="D437" s="17"/>
      <c r="E437" s="10" t="n">
        <v>2268</v>
      </c>
      <c r="F437" s="17"/>
      <c r="G437" s="17"/>
      <c r="H437" s="17"/>
      <c r="I437" s="10" t="n">
        <v>2902</v>
      </c>
      <c r="J437" s="17"/>
      <c r="K437" s="17"/>
    </row>
    <row r="438" customFormat="false" ht="15" hidden="false" customHeight="false" outlineLevel="0" collapsed="false">
      <c r="A438" s="9" t="s">
        <v>304</v>
      </c>
      <c r="B438" s="17"/>
      <c r="C438" s="17"/>
      <c r="D438" s="17"/>
      <c r="E438" s="10" t="n">
        <v>679</v>
      </c>
      <c r="F438" s="17"/>
      <c r="G438" s="17"/>
      <c r="H438" s="17"/>
      <c r="I438" s="10" t="n">
        <v>1433</v>
      </c>
      <c r="J438" s="17"/>
      <c r="K438" s="17"/>
    </row>
    <row r="439" customFormat="false" ht="15" hidden="false" customHeight="false" outlineLevel="0" collapsed="false">
      <c r="A439" s="9" t="s">
        <v>305</v>
      </c>
      <c r="B439" s="17"/>
      <c r="C439" s="17"/>
      <c r="D439" s="17"/>
      <c r="E439" s="10" t="n">
        <v>-588</v>
      </c>
      <c r="F439" s="17"/>
      <c r="G439" s="17"/>
      <c r="H439" s="17"/>
      <c r="I439" s="10" t="n">
        <v>-598</v>
      </c>
      <c r="J439" s="17"/>
      <c r="K439" s="17"/>
    </row>
    <row r="440" customFormat="false" ht="15" hidden="false" customHeight="false" outlineLevel="0" collapsed="false">
      <c r="A440" s="9" t="s">
        <v>306</v>
      </c>
      <c r="B440" s="17"/>
      <c r="C440" s="17"/>
      <c r="D440" s="17"/>
      <c r="E440" s="10" t="n">
        <v>-323</v>
      </c>
      <c r="F440" s="17"/>
      <c r="G440" s="17"/>
      <c r="H440" s="17"/>
      <c r="I440" s="10" t="n">
        <v>-541</v>
      </c>
      <c r="J440" s="17"/>
      <c r="K440" s="17"/>
    </row>
    <row r="441" customFormat="false" ht="15" hidden="false" customHeight="false" outlineLevel="0" collapsed="false">
      <c r="A441" s="9" t="s">
        <v>307</v>
      </c>
      <c r="B441" s="17"/>
      <c r="C441" s="17"/>
      <c r="D441" s="17"/>
      <c r="E441" s="10" t="n">
        <v>2035</v>
      </c>
      <c r="F441" s="17"/>
      <c r="G441" s="17"/>
      <c r="H441" s="17"/>
      <c r="I441" s="10" t="n">
        <v>3196</v>
      </c>
      <c r="J441" s="17"/>
      <c r="K441" s="17"/>
    </row>
    <row r="442" customFormat="false" ht="15" hidden="false" customHeight="false" outlineLevel="0" collapsed="false">
      <c r="A442" s="9" t="s">
        <v>308</v>
      </c>
      <c r="B442" s="17"/>
      <c r="C442" s="17"/>
      <c r="D442" s="17"/>
      <c r="E442" s="10" t="n">
        <v>5708</v>
      </c>
      <c r="F442" s="17"/>
      <c r="G442" s="17"/>
      <c r="H442" s="17"/>
      <c r="I442" s="10" t="n">
        <v>6686</v>
      </c>
      <c r="J442" s="17"/>
      <c r="K442" s="17"/>
    </row>
    <row r="443" customFormat="false" ht="15" hidden="false" customHeight="false" outlineLevel="0" collapsed="false">
      <c r="A443" s="9" t="s">
        <v>309</v>
      </c>
      <c r="B443" s="17"/>
      <c r="C443" s="17"/>
      <c r="D443" s="17"/>
      <c r="E443" s="10" t="n">
        <v>12419</v>
      </c>
      <c r="F443" s="17"/>
      <c r="G443" s="17"/>
      <c r="H443" s="17"/>
      <c r="I443" s="10" t="n">
        <v>13081</v>
      </c>
      <c r="J443" s="17"/>
      <c r="K443" s="17"/>
    </row>
    <row r="444" customFormat="false" ht="15" hidden="false" customHeight="false" outlineLevel="0" collapsed="false">
      <c r="A444" s="9" t="s">
        <v>310</v>
      </c>
      <c r="B444" s="17"/>
      <c r="C444" s="17"/>
      <c r="D444" s="17"/>
      <c r="E444" s="10" t="n">
        <v>5534</v>
      </c>
      <c r="F444" s="17"/>
      <c r="G444" s="17"/>
      <c r="H444" s="17"/>
      <c r="I444" s="10" t="n">
        <v>7378</v>
      </c>
      <c r="J444" s="17"/>
      <c r="K444" s="17"/>
    </row>
    <row r="445" customFormat="false" ht="15" hidden="false" customHeight="false" outlineLevel="0" collapsed="false">
      <c r="A445" s="9" t="s">
        <v>311</v>
      </c>
      <c r="B445" s="17"/>
      <c r="C445" s="17"/>
      <c r="D445" s="17"/>
      <c r="E445" s="10" t="n">
        <v>2015</v>
      </c>
      <c r="F445" s="17"/>
      <c r="G445" s="17"/>
      <c r="H445" s="17"/>
      <c r="I445" s="10" t="n">
        <v>2263</v>
      </c>
      <c r="J445" s="17"/>
      <c r="K445" s="17"/>
    </row>
    <row r="446" customFormat="false" ht="15" hidden="false" customHeight="false" outlineLevel="0" collapsed="false">
      <c r="A446" s="9" t="s">
        <v>312</v>
      </c>
      <c r="B446" s="17"/>
      <c r="C446" s="17"/>
      <c r="D446" s="17"/>
      <c r="E446" s="10" t="n">
        <v>8047</v>
      </c>
      <c r="F446" s="17"/>
      <c r="G446" s="17"/>
      <c r="H446" s="17"/>
      <c r="I446" s="10" t="n">
        <v>7251</v>
      </c>
      <c r="J446" s="17"/>
      <c r="K446" s="17"/>
    </row>
    <row r="447" customFormat="false" ht="15" hidden="false" customHeight="false" outlineLevel="0" collapsed="false">
      <c r="A447" s="9" t="s">
        <v>313</v>
      </c>
      <c r="B447" s="17"/>
      <c r="C447" s="17"/>
      <c r="D447" s="17"/>
      <c r="E447" s="10" t="n">
        <v>1654</v>
      </c>
      <c r="F447" s="17"/>
      <c r="G447" s="17"/>
      <c r="H447" s="17"/>
      <c r="I447" s="10" t="n">
        <v>1859</v>
      </c>
      <c r="J447" s="17"/>
      <c r="K447" s="17"/>
    </row>
    <row r="448" customFormat="false" ht="15" hidden="false" customHeight="false" outlineLevel="0" collapsed="false">
      <c r="A448" s="9" t="s">
        <v>314</v>
      </c>
      <c r="B448" s="17"/>
      <c r="C448" s="17"/>
      <c r="D448" s="17"/>
      <c r="E448" s="10" t="n">
        <v>14465</v>
      </c>
      <c r="F448" s="17"/>
      <c r="G448" s="17"/>
      <c r="H448" s="17"/>
      <c r="I448" s="10" t="n">
        <v>16006</v>
      </c>
      <c r="J448" s="17"/>
      <c r="K448" s="17"/>
    </row>
    <row r="449" customFormat="false" ht="15" hidden="false" customHeight="false" outlineLevel="0" collapsed="false">
      <c r="A449" s="9" t="s">
        <v>315</v>
      </c>
      <c r="B449" s="17"/>
      <c r="C449" s="17"/>
      <c r="D449" s="17"/>
      <c r="E449" s="10" t="n">
        <v>819</v>
      </c>
      <c r="F449" s="17"/>
      <c r="G449" s="17"/>
      <c r="H449" s="17"/>
      <c r="I449" s="10" t="n">
        <v>1018</v>
      </c>
      <c r="J449" s="17"/>
      <c r="K449" s="17"/>
    </row>
    <row r="450" customFormat="false" ht="15" hidden="false" customHeight="false" outlineLevel="0" collapsed="false">
      <c r="A450" s="9" t="s">
        <v>316</v>
      </c>
      <c r="B450" s="17"/>
      <c r="C450" s="17"/>
      <c r="D450" s="17"/>
      <c r="E450" s="10" t="n">
        <v>781</v>
      </c>
      <c r="F450" s="17"/>
      <c r="G450" s="17"/>
      <c r="H450" s="17"/>
      <c r="I450" s="10" t="n">
        <v>806</v>
      </c>
      <c r="J450" s="17"/>
      <c r="K450" s="17"/>
    </row>
    <row r="451" customFormat="false" ht="15" hidden="false" customHeight="false" outlineLevel="0" collapsed="false">
      <c r="A451" s="9" t="s">
        <v>317</v>
      </c>
      <c r="B451" s="17"/>
      <c r="C451" s="17"/>
      <c r="D451" s="17"/>
      <c r="E451" s="10" t="n">
        <v>2063</v>
      </c>
      <c r="F451" s="17"/>
      <c r="G451" s="17"/>
      <c r="H451" s="17"/>
      <c r="I451" s="10" t="n">
        <v>1937</v>
      </c>
      <c r="J451" s="17"/>
      <c r="K451" s="17"/>
    </row>
    <row r="452" customFormat="false" ht="15" hidden="false" customHeight="false" outlineLevel="0" collapsed="false">
      <c r="A452" s="9" t="s">
        <v>318</v>
      </c>
      <c r="B452" s="17"/>
      <c r="C452" s="17"/>
      <c r="D452" s="17"/>
      <c r="E452" s="10" t="n">
        <v>4957</v>
      </c>
      <c r="F452" s="17"/>
      <c r="G452" s="17"/>
      <c r="H452" s="17"/>
      <c r="I452" s="10" t="n">
        <v>6620</v>
      </c>
      <c r="J452" s="17"/>
      <c r="K452" s="17"/>
    </row>
    <row r="453" customFormat="false" ht="15" hidden="false" customHeight="false" outlineLevel="0" collapsed="false">
      <c r="A453" s="9" t="s">
        <v>319</v>
      </c>
      <c r="B453" s="17"/>
      <c r="C453" s="17"/>
      <c r="D453" s="17"/>
      <c r="E453" s="10" t="n">
        <v>1676</v>
      </c>
      <c r="F453" s="17"/>
      <c r="G453" s="17"/>
      <c r="H453" s="17"/>
      <c r="I453" s="10" t="n">
        <v>2049</v>
      </c>
      <c r="J453" s="17"/>
      <c r="K453" s="17"/>
    </row>
    <row r="454" customFormat="false" ht="15" hidden="false" customHeight="false" outlineLevel="0" collapsed="false">
      <c r="A454" s="9" t="s">
        <v>320</v>
      </c>
      <c r="B454" s="17"/>
      <c r="C454" s="17"/>
      <c r="D454" s="17"/>
      <c r="E454" s="10" t="n">
        <v>917</v>
      </c>
      <c r="F454" s="17"/>
      <c r="G454" s="17"/>
      <c r="H454" s="17"/>
      <c r="I454" s="10" t="n">
        <v>973</v>
      </c>
      <c r="J454" s="17"/>
      <c r="K454" s="17"/>
    </row>
    <row r="455" customFormat="false" ht="15" hidden="false" customHeight="false" outlineLevel="0" collapsed="false">
      <c r="A455" s="9" t="s">
        <v>321</v>
      </c>
      <c r="B455" s="17"/>
      <c r="C455" s="17"/>
      <c r="D455" s="17"/>
      <c r="E455" s="10" t="n">
        <v>7781</v>
      </c>
      <c r="F455" s="17"/>
      <c r="G455" s="17"/>
      <c r="H455" s="17"/>
      <c r="I455" s="10" t="n">
        <v>8241</v>
      </c>
      <c r="J455" s="17"/>
      <c r="K455" s="17"/>
    </row>
    <row r="456" customFormat="false" ht="15" hidden="false" customHeight="false" outlineLevel="0" collapsed="false">
      <c r="A456" s="9" t="s">
        <v>322</v>
      </c>
      <c r="B456" s="17"/>
      <c r="C456" s="17"/>
      <c r="D456" s="17"/>
      <c r="E456" s="10" t="n">
        <v>1377</v>
      </c>
      <c r="F456" s="17"/>
      <c r="G456" s="17"/>
      <c r="H456" s="17"/>
      <c r="I456" s="10" t="n">
        <v>652</v>
      </c>
      <c r="J456" s="17"/>
      <c r="K456" s="17"/>
    </row>
    <row r="457" customFormat="false" ht="15" hidden="false" customHeight="false" outlineLevel="0" collapsed="false">
      <c r="A457" s="9" t="s">
        <v>323</v>
      </c>
      <c r="B457" s="17"/>
      <c r="C457" s="17"/>
      <c r="D457" s="17"/>
      <c r="E457" s="10" t="n">
        <v>542</v>
      </c>
      <c r="F457" s="17"/>
      <c r="G457" s="17"/>
      <c r="H457" s="17"/>
      <c r="I457" s="10" t="n">
        <v>217</v>
      </c>
      <c r="J457" s="17"/>
      <c r="K457" s="17"/>
    </row>
    <row r="458" customFormat="false" ht="15" hidden="false" customHeight="false" outlineLevel="0" collapsed="false">
      <c r="A458" s="20" t="s">
        <v>324</v>
      </c>
      <c r="B458" s="20"/>
      <c r="C458" s="20"/>
      <c r="D458" s="20"/>
      <c r="E458" s="20"/>
      <c r="F458" s="20"/>
      <c r="G458" s="20"/>
      <c r="H458" s="20"/>
      <c r="I458" s="20"/>
      <c r="J458" s="20"/>
      <c r="K458" s="20"/>
    </row>
    <row r="459" customFormat="false" ht="15" hidden="false" customHeight="false" outlineLevel="0" collapsed="false">
      <c r="A459" s="9" t="s">
        <v>325</v>
      </c>
      <c r="B459" s="17"/>
      <c r="C459" s="17"/>
      <c r="D459" s="17"/>
      <c r="E459" s="10" t="n">
        <v>426</v>
      </c>
      <c r="F459" s="17"/>
      <c r="G459" s="17"/>
      <c r="H459" s="17"/>
      <c r="I459" s="10" t="n">
        <v>277</v>
      </c>
      <c r="J459" s="17"/>
      <c r="K459" s="17"/>
    </row>
    <row r="460" customFormat="false" ht="15" hidden="false" customHeight="false" outlineLevel="0" collapsed="false">
      <c r="A460" s="9" t="s">
        <v>326</v>
      </c>
      <c r="B460" s="17"/>
      <c r="C460" s="17"/>
      <c r="D460" s="17"/>
      <c r="E460" s="10" t="n">
        <v>-1024</v>
      </c>
      <c r="F460" s="17"/>
      <c r="G460" s="17"/>
      <c r="H460" s="17"/>
      <c r="I460" s="10" t="n">
        <v>-281</v>
      </c>
      <c r="J460" s="17"/>
      <c r="K460" s="17"/>
    </row>
    <row r="461" customFormat="false" ht="15" hidden="false" customHeight="false" outlineLevel="0" collapsed="false">
      <c r="A461" s="9" t="s">
        <v>327</v>
      </c>
      <c r="B461" s="17"/>
      <c r="C461" s="17"/>
      <c r="D461" s="17"/>
      <c r="E461" s="10" t="n">
        <v>-9</v>
      </c>
      <c r="F461" s="17"/>
      <c r="G461" s="17"/>
      <c r="H461" s="17"/>
      <c r="I461" s="10" t="n">
        <v>180</v>
      </c>
      <c r="J461" s="17"/>
      <c r="K461" s="17"/>
    </row>
    <row r="462" customFormat="false" ht="15" hidden="false" customHeight="false" outlineLevel="0" collapsed="false">
      <c r="A462" s="9" t="s">
        <v>328</v>
      </c>
      <c r="B462" s="17"/>
      <c r="C462" s="17"/>
      <c r="D462" s="17"/>
      <c r="E462" s="10" t="n">
        <v>-254</v>
      </c>
      <c r="F462" s="17"/>
      <c r="G462" s="17"/>
      <c r="H462" s="17"/>
      <c r="I462" s="10" t="n">
        <v>0</v>
      </c>
      <c r="J462" s="17"/>
      <c r="K462" s="17"/>
    </row>
    <row r="463" customFormat="false" ht="15" hidden="false" customHeight="false" outlineLevel="0" collapsed="false">
      <c r="A463" s="9" t="s">
        <v>329</v>
      </c>
      <c r="B463" s="17"/>
      <c r="C463" s="17"/>
      <c r="D463" s="17"/>
      <c r="E463" s="10" t="n">
        <v>-536</v>
      </c>
      <c r="F463" s="17"/>
      <c r="G463" s="17"/>
      <c r="H463" s="17"/>
      <c r="I463" s="10" t="n">
        <v>-459</v>
      </c>
      <c r="J463" s="17"/>
      <c r="K463" s="17"/>
    </row>
    <row r="464" customFormat="false" ht="15" hidden="false" customHeight="false" outlineLevel="0" collapsed="false">
      <c r="A464" s="9" t="s">
        <v>330</v>
      </c>
      <c r="B464" s="17"/>
      <c r="C464" s="17"/>
      <c r="D464" s="17"/>
      <c r="E464" s="10" t="n">
        <v>1008</v>
      </c>
      <c r="F464" s="17"/>
      <c r="G464" s="17"/>
      <c r="H464" s="17"/>
      <c r="I464" s="10" t="n">
        <v>847</v>
      </c>
      <c r="J464" s="17"/>
      <c r="K464" s="17"/>
    </row>
    <row r="465" customFormat="false" ht="15" hidden="false" customHeight="false" outlineLevel="0" collapsed="false">
      <c r="A465" s="9" t="s">
        <v>331</v>
      </c>
      <c r="B465" s="17"/>
      <c r="C465" s="17"/>
      <c r="D465" s="17"/>
      <c r="E465" s="10" t="n">
        <v>-130</v>
      </c>
      <c r="F465" s="17"/>
      <c r="G465" s="17"/>
      <c r="H465" s="17"/>
      <c r="I465" s="10" t="n">
        <v>-185</v>
      </c>
      <c r="J465" s="17"/>
      <c r="K465" s="17"/>
    </row>
    <row r="466" customFormat="false" ht="15" hidden="false" customHeight="false" outlineLevel="0" collapsed="false">
      <c r="A466" s="9" t="s">
        <v>332</v>
      </c>
      <c r="B466" s="17"/>
      <c r="C466" s="17"/>
      <c r="D466" s="17"/>
      <c r="E466" s="10" t="n">
        <v>995</v>
      </c>
      <c r="F466" s="17"/>
      <c r="G466" s="17"/>
      <c r="H466" s="17"/>
      <c r="I466" s="10" t="n">
        <v>-2062</v>
      </c>
      <c r="J466" s="17"/>
      <c r="K466" s="17"/>
    </row>
    <row r="467" customFormat="false" ht="15" hidden="false" customHeight="false" outlineLevel="0" collapsed="false">
      <c r="A467" s="9" t="s">
        <v>333</v>
      </c>
      <c r="B467" s="17"/>
      <c r="C467" s="17"/>
      <c r="D467" s="17"/>
      <c r="E467" s="10" t="n">
        <v>2035</v>
      </c>
      <c r="F467" s="17"/>
      <c r="G467" s="17"/>
      <c r="H467" s="17"/>
      <c r="I467" s="10" t="n">
        <v>3196</v>
      </c>
      <c r="J467" s="17"/>
      <c r="K467" s="17"/>
    </row>
    <row r="468" customFormat="false" ht="15" hidden="false" customHeight="false" outlineLevel="0" collapsed="false">
      <c r="A468" s="20" t="s">
        <v>334</v>
      </c>
      <c r="B468" s="20"/>
      <c r="C468" s="20"/>
      <c r="D468" s="20"/>
      <c r="E468" s="20"/>
      <c r="F468" s="20"/>
      <c r="G468" s="20"/>
      <c r="H468" s="20"/>
      <c r="I468" s="20"/>
      <c r="J468" s="20"/>
      <c r="K468" s="20"/>
    </row>
    <row r="469" customFormat="false" ht="15" hidden="false" customHeight="false" outlineLevel="0" collapsed="false">
      <c r="A469" s="9" t="s">
        <v>335</v>
      </c>
      <c r="B469" s="17"/>
      <c r="C469" s="17"/>
      <c r="D469" s="17"/>
      <c r="E469" s="10" t="n">
        <v>112</v>
      </c>
      <c r="F469" s="17"/>
      <c r="G469" s="17"/>
      <c r="H469" s="17"/>
      <c r="I469" s="10" t="n">
        <v>173</v>
      </c>
      <c r="J469" s="17"/>
      <c r="K469" s="17"/>
    </row>
    <row r="470" customFormat="false" ht="15" hidden="false" customHeight="false" outlineLevel="0" collapsed="false">
      <c r="A470" s="9" t="s">
        <v>336</v>
      </c>
      <c r="B470" s="17"/>
      <c r="C470" s="17"/>
      <c r="D470" s="17"/>
      <c r="E470" s="10" t="n">
        <v>68</v>
      </c>
      <c r="F470" s="17"/>
      <c r="G470" s="17"/>
      <c r="H470" s="17"/>
      <c r="I470" s="10" t="n">
        <v>110</v>
      </c>
      <c r="J470" s="17"/>
      <c r="K470" s="17"/>
    </row>
    <row r="471" customFormat="false" ht="15" hidden="false" customHeight="false" outlineLevel="0" collapsed="false">
      <c r="A471" s="9" t="s">
        <v>337</v>
      </c>
      <c r="B471" s="17"/>
      <c r="C471" s="17"/>
      <c r="D471" s="17"/>
      <c r="E471" s="10" t="n">
        <v>25</v>
      </c>
      <c r="F471" s="17"/>
      <c r="G471" s="17"/>
      <c r="H471" s="17"/>
      <c r="I471" s="10" t="n">
        <v>43</v>
      </c>
      <c r="J471" s="17"/>
      <c r="K471" s="17"/>
    </row>
    <row r="472" customFormat="false" ht="15" hidden="false" customHeight="false" outlineLevel="0" collapsed="false">
      <c r="A472" s="9" t="s">
        <v>338</v>
      </c>
      <c r="B472" s="17"/>
      <c r="C472" s="17"/>
      <c r="D472" s="17"/>
      <c r="E472" s="10" t="n">
        <v>44</v>
      </c>
      <c r="F472" s="17"/>
      <c r="G472" s="17"/>
      <c r="H472" s="17"/>
      <c r="I472" s="10" t="n">
        <v>63</v>
      </c>
      <c r="J472" s="17"/>
      <c r="K472" s="17"/>
    </row>
    <row r="473" customFormat="false" ht="15" hidden="false" customHeight="false" outlineLevel="0" collapsed="false">
      <c r="A473" s="9" t="s">
        <v>339</v>
      </c>
      <c r="B473" s="17"/>
      <c r="C473" s="17"/>
      <c r="D473" s="17"/>
      <c r="E473" s="25" t="n">
        <v>20.2</v>
      </c>
      <c r="F473" s="17"/>
      <c r="G473" s="17"/>
      <c r="H473" s="17"/>
      <c r="I473" s="25" t="n">
        <v>29.8</v>
      </c>
      <c r="J473" s="17"/>
      <c r="K473" s="17"/>
    </row>
    <row r="474" customFormat="false" ht="15" hidden="false" customHeight="false" outlineLevel="0" collapsed="false">
      <c r="A474" s="9" t="s">
        <v>340</v>
      </c>
      <c r="B474" s="17"/>
      <c r="C474" s="17"/>
      <c r="D474" s="17"/>
      <c r="E474" s="10" t="n">
        <v>75</v>
      </c>
      <c r="F474" s="17"/>
      <c r="G474" s="17"/>
      <c r="H474" s="17"/>
      <c r="I474" s="10" t="n">
        <v>81</v>
      </c>
      <c r="J474" s="17"/>
      <c r="K474" s="17"/>
    </row>
    <row r="475" customFormat="false" ht="15" hidden="false" customHeight="false" outlineLevel="0" collapsed="false">
      <c r="A475" s="9" t="s">
        <v>341</v>
      </c>
      <c r="B475" s="17"/>
      <c r="C475" s="17"/>
      <c r="D475" s="17"/>
      <c r="E475" s="10" t="n">
        <v>48</v>
      </c>
      <c r="F475" s="17"/>
      <c r="G475" s="17"/>
      <c r="H475" s="17"/>
      <c r="I475" s="10" t="n">
        <v>54</v>
      </c>
      <c r="J475" s="17"/>
      <c r="K475" s="17"/>
    </row>
    <row r="476" customFormat="false" ht="15" hidden="false" customHeight="false" outlineLevel="0" collapsed="false">
      <c r="A476" s="9" t="s">
        <v>342</v>
      </c>
      <c r="B476" s="17"/>
      <c r="C476" s="17"/>
      <c r="D476" s="17"/>
      <c r="E476" s="10" t="n">
        <v>15</v>
      </c>
      <c r="F476" s="17"/>
      <c r="G476" s="17"/>
      <c r="H476" s="17"/>
      <c r="I476" s="10" t="n">
        <v>24</v>
      </c>
      <c r="J476" s="17"/>
      <c r="K476" s="17"/>
    </row>
    <row r="477" customFormat="false" ht="15" hidden="false" customHeight="false" outlineLevel="0" collapsed="false">
      <c r="A477" s="9" t="s">
        <v>343</v>
      </c>
      <c r="B477" s="17"/>
      <c r="C477" s="17"/>
      <c r="D477" s="17"/>
      <c r="E477" s="10" t="n">
        <v>27</v>
      </c>
      <c r="F477" s="17"/>
      <c r="G477" s="17"/>
      <c r="H477" s="17"/>
      <c r="I477" s="10" t="n">
        <v>27</v>
      </c>
      <c r="J477" s="17"/>
      <c r="K477" s="17"/>
    </row>
    <row r="478" customFormat="false" ht="15" hidden="false" customHeight="false" outlineLevel="0" collapsed="false">
      <c r="A478" s="9" t="s">
        <v>344</v>
      </c>
      <c r="B478" s="17"/>
      <c r="C478" s="17"/>
      <c r="D478" s="17"/>
      <c r="E478" s="25" t="n">
        <v>11.9</v>
      </c>
      <c r="F478" s="17"/>
      <c r="G478" s="17"/>
      <c r="H478" s="17"/>
      <c r="I478" s="25" t="n">
        <v>15.3</v>
      </c>
      <c r="J478" s="17"/>
      <c r="K478" s="17"/>
    </row>
    <row r="479" customFormat="false" ht="15" hidden="false" customHeight="false" outlineLevel="0" collapsed="false">
      <c r="A479" s="9" t="s">
        <v>345</v>
      </c>
      <c r="B479" s="17"/>
      <c r="C479" s="17"/>
      <c r="D479" s="17"/>
      <c r="E479" s="10" t="n">
        <v>1212</v>
      </c>
      <c r="F479" s="17"/>
      <c r="G479" s="17"/>
      <c r="H479" s="17"/>
      <c r="I479" s="10" t="n">
        <v>854</v>
      </c>
      <c r="J479" s="17"/>
      <c r="K479" s="17"/>
    </row>
    <row r="480" customFormat="false" ht="15" hidden="false" customHeight="false" outlineLevel="0" collapsed="false">
      <c r="A480" s="9" t="s">
        <v>346</v>
      </c>
      <c r="B480" s="17"/>
      <c r="C480" s="17"/>
      <c r="D480" s="17"/>
      <c r="E480" s="10" t="n">
        <v>656</v>
      </c>
      <c r="F480" s="17"/>
      <c r="G480" s="17"/>
      <c r="H480" s="17"/>
      <c r="I480" s="10" t="n">
        <v>608</v>
      </c>
      <c r="J480" s="17"/>
      <c r="K480" s="17"/>
    </row>
    <row r="481" customFormat="false" ht="15" hidden="false" customHeight="false" outlineLevel="0" collapsed="false">
      <c r="A481" s="9" t="s">
        <v>347</v>
      </c>
      <c r="B481" s="17"/>
      <c r="C481" s="17"/>
      <c r="D481" s="17"/>
      <c r="E481" s="25" t="n">
        <v>5.3</v>
      </c>
      <c r="F481" s="17"/>
      <c r="G481" s="17"/>
      <c r="H481" s="17"/>
      <c r="I481" s="25" t="n">
        <v>4.9</v>
      </c>
      <c r="J481" s="17"/>
      <c r="K481" s="17"/>
    </row>
    <row r="482" customFormat="false" ht="15" hidden="false" customHeight="false" outlineLevel="0" collapsed="false">
      <c r="A482" s="9" t="s">
        <v>348</v>
      </c>
      <c r="B482" s="17"/>
      <c r="C482" s="17"/>
      <c r="D482" s="17"/>
      <c r="E482" s="10" t="n">
        <v>1778</v>
      </c>
      <c r="F482" s="17"/>
      <c r="G482" s="17"/>
      <c r="H482" s="17"/>
      <c r="I482" s="10" t="n">
        <v>1518</v>
      </c>
      <c r="J482" s="17"/>
      <c r="K482" s="17"/>
    </row>
    <row r="483" customFormat="false" ht="15" hidden="false" customHeight="false" outlineLevel="0" collapsed="false">
      <c r="A483" s="9" t="s">
        <v>349</v>
      </c>
      <c r="B483" s="17"/>
      <c r="C483" s="17"/>
      <c r="D483" s="17"/>
      <c r="E483" s="10" t="n">
        <v>298</v>
      </c>
      <c r="F483" s="17"/>
      <c r="G483" s="17"/>
      <c r="H483" s="17"/>
      <c r="I483" s="10" t="n">
        <v>589</v>
      </c>
      <c r="J483" s="17"/>
      <c r="K483" s="17"/>
    </row>
    <row r="484" customFormat="false" ht="15" hidden="false" customHeight="false" outlineLevel="0" collapsed="false">
      <c r="A484" s="9" t="s">
        <v>350</v>
      </c>
      <c r="B484" s="17"/>
      <c r="C484" s="17"/>
      <c r="D484" s="17"/>
      <c r="E484" s="25" t="n">
        <v>7.8</v>
      </c>
      <c r="F484" s="17"/>
      <c r="G484" s="17"/>
      <c r="H484" s="17"/>
      <c r="I484" s="25" t="n">
        <v>6.9</v>
      </c>
      <c r="J484" s="17"/>
      <c r="K484" s="17"/>
    </row>
    <row r="486" customFormat="false" ht="15" hidden="false" customHeight="false" outlineLevel="0" collapsed="false">
      <c r="A486" s="12" t="s">
        <v>351</v>
      </c>
    </row>
    <row r="487" customFormat="false" ht="15" hidden="false" customHeight="false" outlineLevel="0" collapsed="false">
      <c r="A487" s="29" t="s">
        <v>352</v>
      </c>
    </row>
    <row r="488" customFormat="false" ht="15" hidden="false" customHeight="false" outlineLevel="0" collapsed="false">
      <c r="A488" s="29" t="s">
        <v>353</v>
      </c>
    </row>
    <row r="489" customFormat="false" ht="15" hidden="false" customHeight="false" outlineLevel="0" collapsed="false">
      <c r="A489" s="29" t="s">
        <v>354</v>
      </c>
    </row>
    <row r="490" customFormat="false" ht="15" hidden="false" customHeight="false" outlineLevel="0" collapsed="false">
      <c r="A490" s="29" t="s">
        <v>355</v>
      </c>
    </row>
    <row r="491" customFormat="false" ht="15" hidden="false" customHeight="false" outlineLevel="0" collapsed="false">
      <c r="A491" s="29" t="s">
        <v>356</v>
      </c>
    </row>
    <row r="492" customFormat="false" ht="15" hidden="false" customHeight="false" outlineLevel="0" collapsed="false">
      <c r="A492" s="29" t="s">
        <v>357</v>
      </c>
    </row>
    <row r="493" customFormat="false" ht="15" hidden="false" customHeight="false" outlineLevel="0" collapsed="false">
      <c r="A493" s="29" t="s">
        <v>358</v>
      </c>
    </row>
    <row r="494" customFormat="false" ht="15" hidden="false" customHeight="false" outlineLevel="0" collapsed="false">
      <c r="A494" s="29" t="s">
        <v>359</v>
      </c>
    </row>
    <row r="495" customFormat="false" ht="15" hidden="false" customHeight="false" outlineLevel="0" collapsed="false">
      <c r="A495" s="29" t="s">
        <v>360</v>
      </c>
    </row>
    <row r="496" customFormat="false" ht="15" hidden="false" customHeight="false" outlineLevel="0" collapsed="false">
      <c r="A496" s="29" t="s">
        <v>361</v>
      </c>
    </row>
    <row r="497" customFormat="false" ht="15" hidden="false" customHeight="false" outlineLevel="0" collapsed="false">
      <c r="A497" s="29" t="s">
        <v>362</v>
      </c>
    </row>
    <row r="498" customFormat="false" ht="15" hidden="false" customHeight="false" outlineLevel="0" collapsed="false">
      <c r="A498" s="29" t="s">
        <v>363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53"/>
  <sheetViews>
    <sheetView showFormulas="false" showGridLines="false" showRowColHeaders="true" showZeros="true" rightToLeft="false" tabSelected="false" showOutlineSymbols="true" defaultGridColor="true" view="normal" topLeftCell="A1" colorId="64" zoomScale="111" zoomScaleNormal="111"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B35" activeCellId="0" sqref="B35"/>
    </sheetView>
  </sheetViews>
  <sheetFormatPr defaultColWidth="10.6796875" defaultRowHeight="15" zeroHeight="false" outlineLevelRow="0" outlineLevelCol="0"/>
  <cols>
    <col collapsed="false" customWidth="true" hidden="false" outlineLevel="0" max="2" min="2" style="0" width="52"/>
    <col collapsed="false" customWidth="true" hidden="false" outlineLevel="0" max="14" min="3" style="0" width="10.51"/>
  </cols>
  <sheetData>
    <row r="1" customFormat="false" ht="18" hidden="false" customHeight="true" outlineLevel="0" collapsed="false">
      <c r="A1" s="1" t="s">
        <v>364</v>
      </c>
    </row>
    <row r="2" customFormat="false" ht="15" hidden="false" customHeight="false" outlineLevel="0" collapsed="false">
      <c r="A2" s="2" t="s">
        <v>365</v>
      </c>
    </row>
    <row r="3" customFormat="false" ht="15" hidden="false" customHeight="false" outlineLevel="0" collapsed="false">
      <c r="B3" s="30" t="s">
        <v>366</v>
      </c>
      <c r="C3" s="30"/>
      <c r="D3" s="30"/>
      <c r="E3" s="30"/>
      <c r="F3" s="30"/>
      <c r="G3" s="30"/>
      <c r="H3" s="30"/>
      <c r="I3" s="30"/>
      <c r="J3" s="30"/>
      <c r="K3" s="30"/>
      <c r="L3" s="30"/>
      <c r="M3" s="31" t="s">
        <v>367</v>
      </c>
      <c r="N3" s="31"/>
    </row>
    <row r="4" customFormat="false" ht="15" hidden="false" customHeight="false" outlineLevel="0" collapsed="false">
      <c r="B4" s="32" t="s">
        <v>2</v>
      </c>
      <c r="C4" s="33" t="s">
        <v>3</v>
      </c>
      <c r="D4" s="33" t="s">
        <v>3</v>
      </c>
      <c r="E4" s="33" t="s">
        <v>3</v>
      </c>
      <c r="F4" s="33" t="s">
        <v>3</v>
      </c>
      <c r="G4" s="33" t="s">
        <v>4</v>
      </c>
      <c r="H4" s="33" t="s">
        <v>4</v>
      </c>
      <c r="I4" s="33" t="s">
        <v>4</v>
      </c>
      <c r="J4" s="33" t="s">
        <v>4</v>
      </c>
      <c r="K4" s="33" t="s">
        <v>5</v>
      </c>
      <c r="L4" s="33" t="s">
        <v>5</v>
      </c>
      <c r="M4" s="33" t="s">
        <v>5</v>
      </c>
      <c r="N4" s="33" t="s">
        <v>5</v>
      </c>
    </row>
    <row r="5" customFormat="false" ht="15" hidden="false" customHeight="false" outlineLevel="0" collapsed="false">
      <c r="B5" s="32" t="s">
        <v>6</v>
      </c>
      <c r="C5" s="33" t="s">
        <v>7</v>
      </c>
      <c r="D5" s="33" t="s">
        <v>8</v>
      </c>
      <c r="E5" s="33" t="s">
        <v>9</v>
      </c>
      <c r="F5" s="33" t="s">
        <v>10</v>
      </c>
      <c r="G5" s="33" t="s">
        <v>11</v>
      </c>
      <c r="H5" s="33" t="s">
        <v>12</v>
      </c>
      <c r="I5" s="33" t="s">
        <v>13</v>
      </c>
      <c r="J5" s="33" t="s">
        <v>14</v>
      </c>
      <c r="K5" s="33" t="s">
        <v>15</v>
      </c>
      <c r="L5" s="33" t="s">
        <v>16</v>
      </c>
      <c r="M5" s="33" t="s">
        <v>368</v>
      </c>
      <c r="N5" s="33" t="s">
        <v>369</v>
      </c>
    </row>
    <row r="6" customFormat="false" ht="15" hidden="false" customHeight="false" outlineLevel="0" collapsed="false">
      <c r="B6" s="34" t="s">
        <v>370</v>
      </c>
      <c r="C6" s="35" t="s">
        <v>371</v>
      </c>
      <c r="D6" s="35" t="s">
        <v>371</v>
      </c>
      <c r="E6" s="35" t="s">
        <v>371</v>
      </c>
      <c r="F6" s="35" t="s">
        <v>371</v>
      </c>
      <c r="G6" s="35" t="s">
        <v>371</v>
      </c>
      <c r="H6" s="35" t="s">
        <v>371</v>
      </c>
      <c r="I6" s="35" t="s">
        <v>371</v>
      </c>
      <c r="J6" s="35" t="s">
        <v>371</v>
      </c>
      <c r="K6" s="35" t="s">
        <v>372</v>
      </c>
      <c r="L6" s="35" t="s">
        <v>372</v>
      </c>
      <c r="M6" s="36"/>
      <c r="N6" s="34"/>
    </row>
    <row r="7" customFormat="false" ht="15" hidden="false" customHeight="false" outlineLevel="0" collapsed="false">
      <c r="M7" s="37"/>
    </row>
    <row r="8" customFormat="false" ht="15" hidden="false" customHeight="false" outlineLevel="0" collapsed="false">
      <c r="B8" s="38" t="s">
        <v>373</v>
      </c>
      <c r="C8" s="38"/>
      <c r="D8" s="38"/>
      <c r="E8" s="38"/>
      <c r="F8" s="38"/>
      <c r="G8" s="38"/>
      <c r="H8" s="38"/>
      <c r="I8" s="38"/>
      <c r="J8" s="38"/>
      <c r="K8" s="38"/>
      <c r="L8" s="38"/>
      <c r="M8" s="39"/>
      <c r="N8" s="38"/>
    </row>
    <row r="9" customFormat="false" ht="15" hidden="false" customHeight="false" outlineLevel="0" collapsed="false">
      <c r="B9" s="40" t="s">
        <v>113</v>
      </c>
      <c r="C9" s="41" t="n">
        <f aca="false">C37</f>
        <v>1639</v>
      </c>
      <c r="D9" s="41" t="n">
        <f aca="false">D37</f>
        <v>2062</v>
      </c>
      <c r="E9" s="41" t="n">
        <f aca="false">E37</f>
        <v>2891</v>
      </c>
      <c r="F9" s="41" t="n">
        <f aca="false">F37</f>
        <v>3109</v>
      </c>
      <c r="G9" s="41" t="n">
        <f aca="false">G37</f>
        <v>1850</v>
      </c>
      <c r="H9" s="41" t="n">
        <f aca="false">H37</f>
        <v>2245</v>
      </c>
      <c r="I9" s="41" t="n">
        <f aca="false">I37</f>
        <v>2647</v>
      </c>
      <c r="J9" s="41" t="n">
        <f aca="false">J37</f>
        <v>2368</v>
      </c>
      <c r="K9" s="41" t="n">
        <f aca="false">K37</f>
        <v>1432</v>
      </c>
      <c r="L9" s="41" t="n">
        <f aca="false">L37</f>
        <v>2026</v>
      </c>
      <c r="M9" s="37"/>
    </row>
    <row r="10" customFormat="false" ht="15" hidden="false" customHeight="false" outlineLevel="0" collapsed="false">
      <c r="B10" s="40" t="s">
        <v>112</v>
      </c>
      <c r="C10" s="41" t="n">
        <f aca="false">C74</f>
        <v>1651</v>
      </c>
      <c r="D10" s="41" t="n">
        <f aca="false">D74</f>
        <v>1790</v>
      </c>
      <c r="E10" s="41" t="n">
        <f aca="false">E74</f>
        <v>1928</v>
      </c>
      <c r="F10" s="41" t="n">
        <f aca="false">F74</f>
        <v>2181</v>
      </c>
      <c r="G10" s="41" t="n">
        <f aca="false">G74</f>
        <v>1879</v>
      </c>
      <c r="H10" s="41" t="n">
        <f aca="false">H74</f>
        <v>2201</v>
      </c>
      <c r="I10" s="41" t="n">
        <f aca="false">I74</f>
        <v>2601</v>
      </c>
      <c r="J10" s="41" t="n">
        <f aca="false">J74</f>
        <v>2961</v>
      </c>
      <c r="K10" s="41" t="n">
        <f aca="false">K74</f>
        <v>2959</v>
      </c>
      <c r="L10" s="41" t="n">
        <f aca="false">L74</f>
        <v>3637</v>
      </c>
      <c r="M10" s="37"/>
    </row>
    <row r="11" customFormat="false" ht="15" hidden="false" customHeight="false" outlineLevel="0" collapsed="false">
      <c r="B11" s="40" t="s">
        <v>111</v>
      </c>
      <c r="C11" s="41" t="n">
        <f aca="false">C111</f>
        <v>4035</v>
      </c>
      <c r="D11" s="41" t="n">
        <f aca="false">D111</f>
        <v>4455</v>
      </c>
      <c r="E11" s="41" t="n">
        <f aca="false">E111</f>
        <v>4206</v>
      </c>
      <c r="F11" s="41" t="n">
        <f aca="false">F111</f>
        <v>5431</v>
      </c>
      <c r="G11" s="41" t="n">
        <f aca="false">G111</f>
        <v>4423</v>
      </c>
      <c r="H11" s="41" t="n">
        <f aca="false">H111</f>
        <v>4758</v>
      </c>
      <c r="I11" s="41" t="n">
        <f aca="false">I111</f>
        <v>4838</v>
      </c>
      <c r="J11" s="41" t="n">
        <f aca="false">J111</f>
        <v>5748</v>
      </c>
      <c r="K11" s="41" t="n">
        <f aca="false">K111</f>
        <v>4971</v>
      </c>
      <c r="L11" s="41" t="n">
        <f aca="false">L111</f>
        <v>5477</v>
      </c>
      <c r="M11" s="37"/>
    </row>
    <row r="12" customFormat="false" ht="15" hidden="false" customHeight="false" outlineLevel="0" collapsed="false">
      <c r="B12" s="40" t="s">
        <v>114</v>
      </c>
      <c r="C12" s="41" t="n">
        <f aca="false">'GEV Quarterly'!B112</f>
        <v>-65</v>
      </c>
      <c r="D12" s="41" t="n">
        <f aca="false">'GEV Quarterly'!C112</f>
        <v>-103</v>
      </c>
      <c r="E12" s="41" t="n">
        <f aca="false">'GEV Quarterly'!D112</f>
        <v>-112</v>
      </c>
      <c r="F12" s="41" t="n">
        <f aca="false">'GEV Quarterly'!E112</f>
        <v>-162</v>
      </c>
      <c r="G12" s="41" t="n">
        <f aca="false">'GEV Quarterly'!F112</f>
        <v>-119</v>
      </c>
      <c r="H12" s="41" t="n">
        <f aca="false">'GEV Quarterly'!G112</f>
        <v>-92</v>
      </c>
      <c r="I12" s="41" t="n">
        <f aca="false">'GEV Quarterly'!H112</f>
        <v>-119</v>
      </c>
      <c r="J12" s="41" t="n">
        <f aca="false">'GEV Quarterly'!I112</f>
        <v>-121</v>
      </c>
      <c r="K12" s="41" t="n">
        <f aca="false">'GEV Quarterly'!J164</f>
        <v>-25</v>
      </c>
      <c r="L12" s="41" t="n">
        <f aca="false">'GEV Quarterly'!K164</f>
        <v>-37</v>
      </c>
      <c r="M12" s="37"/>
    </row>
    <row r="13" customFormat="false" ht="15" hidden="false" customHeight="false" outlineLevel="0" collapsed="false">
      <c r="B13" s="42" t="s">
        <v>39</v>
      </c>
      <c r="C13" s="43" t="n">
        <f aca="false">SUM(C9:C12)</f>
        <v>7260</v>
      </c>
      <c r="D13" s="43" t="n">
        <f aca="false">SUM(D9:D12)</f>
        <v>8204</v>
      </c>
      <c r="E13" s="43" t="n">
        <f aca="false">SUM(E9:E12)</f>
        <v>8913</v>
      </c>
      <c r="F13" s="43" t="n">
        <f aca="false">SUM(F9:F12)</f>
        <v>10559</v>
      </c>
      <c r="G13" s="43" t="n">
        <f aca="false">SUM(G9:G12)</f>
        <v>8033</v>
      </c>
      <c r="H13" s="43" t="n">
        <f aca="false">SUM(H9:H12)</f>
        <v>9112</v>
      </c>
      <c r="I13" s="43" t="n">
        <f aca="false">SUM(I9:I12)</f>
        <v>9967</v>
      </c>
      <c r="J13" s="43" t="n">
        <f aca="false">SUM(J9:J12)</f>
        <v>10956</v>
      </c>
      <c r="K13" s="43" t="n">
        <f aca="false">SUM(K9:K12)</f>
        <v>9337</v>
      </c>
      <c r="L13" s="43" t="n">
        <f aca="false">SUM(L9:L12)</f>
        <v>11103</v>
      </c>
      <c r="M13" s="37"/>
    </row>
    <row r="14" customFormat="false" ht="15" hidden="false" customHeight="false" outlineLevel="0" collapsed="false">
      <c r="B14" s="44" t="s">
        <v>374</v>
      </c>
      <c r="C14" s="45" t="n">
        <f aca="false">C13-'GEV Quarterly'!B12</f>
        <v>0</v>
      </c>
      <c r="D14" s="45" t="n">
        <f aca="false">D13-'GEV Quarterly'!C12</f>
        <v>0</v>
      </c>
      <c r="E14" s="45" t="n">
        <f aca="false">E13-'GEV Quarterly'!D12</f>
        <v>0</v>
      </c>
      <c r="F14" s="45" t="n">
        <f aca="false">F13-'GEV Quarterly'!E12</f>
        <v>1</v>
      </c>
      <c r="G14" s="45" t="n">
        <f aca="false">G13-'GEV Quarterly'!F12</f>
        <v>1</v>
      </c>
      <c r="H14" s="45" t="n">
        <f aca="false">H13-'GEV Quarterly'!G12</f>
        <v>1</v>
      </c>
      <c r="I14" s="45" t="n">
        <f aca="false">I13-'GEV Quarterly'!H12</f>
        <v>-2</v>
      </c>
      <c r="J14" s="45" t="n">
        <f aca="false">J13-'GEV Quarterly'!I12</f>
        <v>0</v>
      </c>
      <c r="K14" s="45" t="n">
        <f aca="false">K13-'GEV Quarterly'!J12</f>
        <v>-2</v>
      </c>
      <c r="L14" s="45" t="n">
        <f aca="false">L13-'GEV Quarterly'!K12</f>
        <v>-1</v>
      </c>
      <c r="M14" s="37"/>
    </row>
    <row r="15" customFormat="false" ht="15" hidden="false" customHeight="false" outlineLevel="0" collapsed="false">
      <c r="M15" s="37"/>
    </row>
    <row r="16" customFormat="false" ht="15" hidden="false" customHeight="false" outlineLevel="0" collapsed="false">
      <c r="B16" s="46" t="s">
        <v>375</v>
      </c>
      <c r="M16" s="37"/>
    </row>
    <row r="17" customFormat="false" ht="15" hidden="false" customHeight="false" outlineLevel="0" collapsed="false">
      <c r="B17" s="40" t="s">
        <v>113</v>
      </c>
      <c r="G17" s="47" t="n">
        <f aca="false">IF(C9&lt;&gt;0,G9/C9-1,"")</f>
        <v>0.128737034777303</v>
      </c>
      <c r="H17" s="47" t="n">
        <f aca="false">IF(D9&lt;&gt;0,H9/D9-1,"")</f>
        <v>0.0887487875848692</v>
      </c>
      <c r="I17" s="47" t="n">
        <f aca="false">IF(E9&lt;&gt;0,I9/E9-1,"")</f>
        <v>-0.084399861639571</v>
      </c>
      <c r="J17" s="47" t="n">
        <f aca="false">IF(F9&lt;&gt;0,J9/F9-1,"")</f>
        <v>-0.238340302348022</v>
      </c>
      <c r="K17" s="47" t="n">
        <f aca="false">K9/'GEV Quarterly'!F163-1</f>
        <v>-0.225945945945946</v>
      </c>
      <c r="L17" s="47" t="n">
        <f aca="false">L9/'GEV Quarterly'!G163-1</f>
        <v>-0.0975501113585746</v>
      </c>
      <c r="M17" s="37"/>
    </row>
    <row r="18" customFormat="false" ht="15" hidden="false" customHeight="false" outlineLevel="0" collapsed="false">
      <c r="B18" s="40" t="s">
        <v>112</v>
      </c>
      <c r="G18" s="47" t="n">
        <f aca="false">IF(C10&lt;&gt;0,G10/C10-1,"")</f>
        <v>0.138098122350091</v>
      </c>
      <c r="H18" s="47" t="n">
        <f aca="false">IF(D10&lt;&gt;0,H10/D10-1,"")</f>
        <v>0.229608938547486</v>
      </c>
      <c r="I18" s="47" t="n">
        <f aca="false">IF(E10&lt;&gt;0,I10/E10-1,"")</f>
        <v>0.349066390041494</v>
      </c>
      <c r="J18" s="47" t="n">
        <f aca="false">IF(F10&lt;&gt;0,J10/F10-1,"")</f>
        <v>0.357634112792297</v>
      </c>
      <c r="K18" s="47" t="n">
        <f aca="false">K10/'GEV Quarterly'!F162-1</f>
        <v>0.608152173913044</v>
      </c>
      <c r="L18" s="47" t="n">
        <f aca="false">L10/'GEV Quarterly'!G162-1</f>
        <v>0.682238667900093</v>
      </c>
      <c r="M18" s="37"/>
    </row>
    <row r="19" customFormat="false" ht="15" hidden="false" customHeight="false" outlineLevel="0" collapsed="false">
      <c r="B19" s="40" t="s">
        <v>111</v>
      </c>
      <c r="G19" s="47" t="n">
        <f aca="false">IF(C11&lt;&gt;0,G11/C11-1,"")</f>
        <v>0.0961586121437423</v>
      </c>
      <c r="H19" s="47" t="n">
        <f aca="false">IF(D11&lt;&gt;0,H11/D11-1,"")</f>
        <v>0.0680134680134681</v>
      </c>
      <c r="I19" s="47" t="n">
        <f aca="false">IF(E11&lt;&gt;0,I11/E11-1,"")</f>
        <v>0.150261531145982</v>
      </c>
      <c r="J19" s="47" t="n">
        <f aca="false">IF(F11&lt;&gt;0,J11/F11-1,"")</f>
        <v>0.0583686245626955</v>
      </c>
      <c r="K19" s="47" t="n">
        <f aca="false">K11/'GEV Quarterly'!F161-1</f>
        <v>0.117329737019555</v>
      </c>
      <c r="L19" s="47" t="n">
        <f aca="false">L11/'GEV Quarterly'!G161-1</f>
        <v>0.144618599791014</v>
      </c>
      <c r="M19" s="37"/>
    </row>
    <row r="20" customFormat="false" ht="15" hidden="false" customHeight="false" outlineLevel="0" collapsed="false">
      <c r="B20" s="48" t="s">
        <v>39</v>
      </c>
      <c r="G20" s="49" t="n">
        <f aca="false">IF(C13&lt;&gt;0,G13/C13-1,"")</f>
        <v>0.106473829201102</v>
      </c>
      <c r="H20" s="49" t="n">
        <f aca="false">IF(D13&lt;&gt;0,H13/D13-1,"")</f>
        <v>0.110677718186251</v>
      </c>
      <c r="I20" s="49" t="n">
        <f aca="false">IF(E13&lt;&gt;0,I13/E13-1,"")</f>
        <v>0.118254235386514</v>
      </c>
      <c r="J20" s="49" t="n">
        <f aca="false">IF(F13&lt;&gt;0,J13/F13-1,"")</f>
        <v>0.0375982574107396</v>
      </c>
      <c r="K20" s="49" t="n">
        <f aca="false">IF(G13&lt;&gt;0,K13/G13-1,"")</f>
        <v>0.162330387152994</v>
      </c>
      <c r="L20" s="49" t="n">
        <f aca="false">IF(H13&lt;&gt;0,L13/H13-1,"")</f>
        <v>0.218503072870939</v>
      </c>
      <c r="M20" s="37"/>
    </row>
    <row r="21" customFormat="false" ht="15" hidden="false" customHeight="false" outlineLevel="0" collapsed="false">
      <c r="M21" s="37"/>
    </row>
    <row r="22" customFormat="false" ht="15" hidden="false" customHeight="false" outlineLevel="0" collapsed="false">
      <c r="B22" s="46" t="s">
        <v>376</v>
      </c>
      <c r="M22" s="37"/>
    </row>
    <row r="23" customFormat="false" ht="15" hidden="false" customHeight="false" outlineLevel="0" collapsed="false">
      <c r="B23" s="40" t="s">
        <v>113</v>
      </c>
      <c r="C23" s="41" t="n">
        <f aca="false">C39</f>
        <v>26164</v>
      </c>
      <c r="D23" s="41" t="n">
        <f aca="false">D39</f>
        <v>25773</v>
      </c>
      <c r="E23" s="41" t="n">
        <f aca="false">E39</f>
        <v>24969</v>
      </c>
      <c r="F23" s="41" t="n">
        <f aca="false">F39</f>
        <v>22682</v>
      </c>
      <c r="G23" s="41" t="n">
        <f aca="false">G39</f>
        <v>22160</v>
      </c>
      <c r="H23" s="41" t="n">
        <f aca="false">H39</f>
        <v>22508</v>
      </c>
      <c r="I23" s="41" t="n">
        <f aca="false">I39</f>
        <v>21508</v>
      </c>
      <c r="J23" s="41" t="n">
        <f aca="false">J39</f>
        <v>21630</v>
      </c>
      <c r="K23" s="41" t="n">
        <f aca="false">K39</f>
        <v>21348</v>
      </c>
      <c r="L23" s="41" t="n">
        <f aca="false">L39</f>
        <v>20388</v>
      </c>
      <c r="M23" s="37"/>
    </row>
    <row r="24" customFormat="false" ht="15" hidden="false" customHeight="false" outlineLevel="0" collapsed="false">
      <c r="B24" s="40" t="s">
        <v>112</v>
      </c>
      <c r="C24" s="41" t="n">
        <f aca="false">C76</f>
        <v>18069</v>
      </c>
      <c r="D24" s="41" t="n">
        <f aca="false">D76</f>
        <v>20679</v>
      </c>
      <c r="E24" s="41" t="n">
        <f aca="false">E76</f>
        <v>21912</v>
      </c>
      <c r="F24" s="41" t="n">
        <f aca="false">F76</f>
        <v>23453</v>
      </c>
      <c r="G24" s="41" t="n">
        <f aca="false">G76</f>
        <v>25462</v>
      </c>
      <c r="H24" s="41" t="n">
        <f aca="false">H76</f>
        <v>27530</v>
      </c>
      <c r="I24" s="41" t="n">
        <f aca="false">I76</f>
        <v>30179</v>
      </c>
      <c r="J24" s="41" t="n">
        <f aca="false">J76</f>
        <v>34667</v>
      </c>
      <c r="K24" s="41" t="n">
        <f aca="false">K76</f>
        <v>42440</v>
      </c>
      <c r="L24" s="41" t="n">
        <f aca="false">L76</f>
        <v>44563</v>
      </c>
      <c r="M24" s="37"/>
    </row>
    <row r="25" customFormat="false" ht="15" hidden="false" customHeight="false" outlineLevel="0" collapsed="false">
      <c r="B25" s="40" t="s">
        <v>111</v>
      </c>
      <c r="C25" s="41" t="n">
        <f aca="false">C113</f>
        <v>72783</v>
      </c>
      <c r="D25" s="41" t="n">
        <f aca="false">D113</f>
        <v>69457</v>
      </c>
      <c r="E25" s="41" t="n">
        <f aca="false">E113</f>
        <v>71303</v>
      </c>
      <c r="F25" s="41" t="n">
        <f aca="false">F113</f>
        <v>73351</v>
      </c>
      <c r="G25" s="41" t="n">
        <f aca="false">G113</f>
        <v>76292</v>
      </c>
      <c r="H25" s="41" t="n">
        <f aca="false">H113</f>
        <v>79065</v>
      </c>
      <c r="I25" s="41" t="n">
        <f aca="false">I113</f>
        <v>84060</v>
      </c>
      <c r="J25" s="41" t="n">
        <f aca="false">J113</f>
        <v>94387</v>
      </c>
      <c r="K25" s="41" t="n">
        <f aca="false">K113</f>
        <v>99694</v>
      </c>
      <c r="L25" s="41" t="n">
        <f aca="false">L113</f>
        <v>111649</v>
      </c>
      <c r="M25" s="37"/>
    </row>
    <row r="26" customFormat="false" ht="15" hidden="false" customHeight="false" outlineLevel="0" collapsed="false">
      <c r="B26" s="40" t="s">
        <v>377</v>
      </c>
      <c r="C26" s="41" t="n">
        <f aca="false">C27-SUM(C23:C25)</f>
        <v>-723</v>
      </c>
      <c r="D26" s="41" t="n">
        <f aca="false">D27-SUM(D23:D25)</f>
        <v>-433</v>
      </c>
      <c r="E26" s="41" t="n">
        <f aca="false">E27-SUM(E23:E25)</f>
        <v>-438</v>
      </c>
      <c r="F26" s="41" t="n">
        <f aca="false">F27-SUM(F23:F25)</f>
        <v>-463</v>
      </c>
      <c r="G26" s="41" t="n">
        <f aca="false">G27-SUM(G23:G25)</f>
        <v>-476</v>
      </c>
      <c r="H26" s="41" t="n">
        <f aca="false">H27-SUM(H23:H25)</f>
        <v>-453</v>
      </c>
      <c r="I26" s="41" t="n">
        <f aca="false">I27-SUM(I23:I25)</f>
        <v>-478</v>
      </c>
      <c r="J26" s="41" t="n">
        <f aca="false">J27-SUM(J23:J25)</f>
        <v>-446</v>
      </c>
      <c r="K26" s="41" t="n">
        <f aca="false">K27-SUM(K23:K25)</f>
        <v>-206</v>
      </c>
      <c r="L26" s="41" t="n">
        <f aca="false">L27-SUM(L23:L25)</f>
        <v>-316</v>
      </c>
      <c r="M26" s="37"/>
    </row>
    <row r="27" customFormat="false" ht="15" hidden="false" customHeight="false" outlineLevel="0" collapsed="false">
      <c r="B27" s="42" t="s">
        <v>378</v>
      </c>
      <c r="C27" s="43" t="n">
        <f aca="false">'GEV Quarterly'!B214</f>
        <v>116293</v>
      </c>
      <c r="D27" s="43" t="n">
        <f aca="false">'GEV Quarterly'!C214</f>
        <v>115476</v>
      </c>
      <c r="E27" s="43" t="n">
        <f aca="false">'GEV Quarterly'!D214</f>
        <v>117746</v>
      </c>
      <c r="F27" s="43" t="n">
        <f aca="false">'GEV Quarterly'!E214</f>
        <v>119023</v>
      </c>
      <c r="G27" s="43" t="n">
        <f aca="false">'GEV Quarterly'!F214</f>
        <v>123438</v>
      </c>
      <c r="H27" s="43" t="n">
        <f aca="false">'GEV Quarterly'!G214</f>
        <v>128650</v>
      </c>
      <c r="I27" s="43" t="n">
        <f aca="false">'GEV Quarterly'!H214</f>
        <v>135269</v>
      </c>
      <c r="J27" s="43" t="n">
        <f aca="false">'GEV Quarterly'!I214</f>
        <v>150238</v>
      </c>
      <c r="K27" s="43" t="n">
        <f aca="false">'GEV Quarterly'!J214</f>
        <v>163276</v>
      </c>
      <c r="L27" s="43" t="n">
        <f aca="false">'GEV Quarterly'!K214</f>
        <v>176284</v>
      </c>
      <c r="M27" s="37"/>
    </row>
    <row r="28" customFormat="false" ht="15" hidden="false" customHeight="false" outlineLevel="0" collapsed="false">
      <c r="B28" s="50" t="s">
        <v>379</v>
      </c>
      <c r="C28" s="51" t="n">
        <f aca="false">'GEV Quarterly'!B212</f>
        <v>42210</v>
      </c>
      <c r="D28" s="51" t="n">
        <f aca="false">'GEV Quarterly'!C212</f>
        <v>41561</v>
      </c>
      <c r="E28" s="51" t="n">
        <f aca="false">'GEV Quarterly'!D212</f>
        <v>42069</v>
      </c>
      <c r="F28" s="51" t="n">
        <f aca="false">'GEV Quarterly'!E212</f>
        <v>43047</v>
      </c>
      <c r="G28" s="51" t="n">
        <f aca="false">'GEV Quarterly'!F212</f>
        <v>45478</v>
      </c>
      <c r="H28" s="51" t="n">
        <f aca="false">'GEV Quarterly'!G212</f>
        <v>49712</v>
      </c>
      <c r="I28" s="51" t="n">
        <f aca="false">'GEV Quarterly'!H212</f>
        <v>54092</v>
      </c>
      <c r="J28" s="51" t="n">
        <f aca="false">'GEV Quarterly'!I212</f>
        <v>64245</v>
      </c>
      <c r="K28" s="51" t="n">
        <f aca="false">'GEV Quarterly'!J212</f>
        <v>75924</v>
      </c>
      <c r="L28" s="51" t="n">
        <f aca="false">'GEV Quarterly'!K212</f>
        <v>87821</v>
      </c>
      <c r="M28" s="37"/>
    </row>
    <row r="29" customFormat="false" ht="15" hidden="false" customHeight="false" outlineLevel="0" collapsed="false">
      <c r="B29" s="50" t="s">
        <v>380</v>
      </c>
      <c r="C29" s="51" t="n">
        <f aca="false">'GEV Quarterly'!B213</f>
        <v>74083</v>
      </c>
      <c r="D29" s="51" t="n">
        <f aca="false">'GEV Quarterly'!C213</f>
        <v>73915</v>
      </c>
      <c r="E29" s="51" t="n">
        <f aca="false">'GEV Quarterly'!D213</f>
        <v>75678</v>
      </c>
      <c r="F29" s="51" t="n">
        <f aca="false">'GEV Quarterly'!E213</f>
        <v>75976</v>
      </c>
      <c r="G29" s="51" t="n">
        <f aca="false">'GEV Quarterly'!F213</f>
        <v>77959</v>
      </c>
      <c r="H29" s="51" t="n">
        <f aca="false">'GEV Quarterly'!G213</f>
        <v>78938</v>
      </c>
      <c r="I29" s="51" t="n">
        <f aca="false">'GEV Quarterly'!H213</f>
        <v>81177</v>
      </c>
      <c r="J29" s="51" t="n">
        <f aca="false">'GEV Quarterly'!I213</f>
        <v>85993</v>
      </c>
      <c r="K29" s="51" t="n">
        <f aca="false">'GEV Quarterly'!J213</f>
        <v>87352</v>
      </c>
      <c r="L29" s="51" t="n">
        <f aca="false">'GEV Quarterly'!K213</f>
        <v>88463</v>
      </c>
      <c r="M29" s="37"/>
    </row>
    <row r="30" customFormat="false" ht="15" hidden="false" customHeight="false" outlineLevel="0" collapsed="false">
      <c r="M30" s="37"/>
    </row>
    <row r="31" customFormat="false" ht="15" hidden="false" customHeight="false" outlineLevel="0" collapsed="false">
      <c r="B31" s="38" t="s">
        <v>381</v>
      </c>
      <c r="C31" s="38"/>
      <c r="D31" s="38"/>
      <c r="E31" s="38"/>
      <c r="F31" s="38"/>
      <c r="G31" s="38"/>
      <c r="H31" s="38"/>
      <c r="I31" s="38"/>
      <c r="J31" s="38"/>
      <c r="K31" s="38"/>
      <c r="L31" s="38"/>
      <c r="M31" s="39"/>
      <c r="N31" s="38"/>
    </row>
    <row r="32" customFormat="false" ht="15" hidden="false" customHeight="false" outlineLevel="0" collapsed="false">
      <c r="M32" s="37"/>
    </row>
    <row r="33" customFormat="false" ht="15" hidden="false" customHeight="false" outlineLevel="0" collapsed="false">
      <c r="B33" s="48" t="s">
        <v>113</v>
      </c>
      <c r="M33" s="37"/>
    </row>
    <row r="34" customFormat="false" ht="15" hidden="false" customHeight="false" outlineLevel="0" collapsed="false">
      <c r="B34" s="40" t="s">
        <v>382</v>
      </c>
      <c r="D34" s="41" t="n">
        <f aca="false">C39</f>
        <v>26164</v>
      </c>
      <c r="E34" s="41" t="n">
        <f aca="false">D39</f>
        <v>25773</v>
      </c>
      <c r="F34" s="41" t="n">
        <f aca="false">E39</f>
        <v>24969</v>
      </c>
      <c r="G34" s="41" t="n">
        <f aca="false">F39</f>
        <v>22682</v>
      </c>
      <c r="H34" s="41" t="n">
        <f aca="false">G39</f>
        <v>22160</v>
      </c>
      <c r="I34" s="41" t="n">
        <f aca="false">H39</f>
        <v>22508</v>
      </c>
      <c r="J34" s="41" t="n">
        <f aca="false">I39</f>
        <v>21508</v>
      </c>
      <c r="K34" s="41" t="n">
        <f aca="false">J39</f>
        <v>21630</v>
      </c>
      <c r="L34" s="41" t="n">
        <f aca="false">K39</f>
        <v>21348</v>
      </c>
      <c r="M34" s="37"/>
    </row>
    <row r="35" customFormat="false" ht="15" hidden="false" customHeight="false" outlineLevel="0" collapsed="false">
      <c r="B35" s="40" t="s">
        <v>383</v>
      </c>
      <c r="K35" s="41" t="n">
        <f aca="false">'GEV Quarterly'!I246-'GEV Quarterly'!I233</f>
        <v>0</v>
      </c>
      <c r="M35" s="37"/>
    </row>
    <row r="36" customFormat="false" ht="15" hidden="false" customHeight="false" outlineLevel="0" collapsed="false">
      <c r="B36" s="40" t="s">
        <v>384</v>
      </c>
      <c r="D36" s="41" t="n">
        <f aca="false">'GEV Quarterly'!C234</f>
        <v>1671</v>
      </c>
      <c r="E36" s="41" t="n">
        <f aca="false">'GEV Quarterly'!D234</f>
        <v>2087</v>
      </c>
      <c r="F36" s="41" t="n">
        <f aca="false">'GEV Quarterly'!E234</f>
        <v>822</v>
      </c>
      <c r="G36" s="41" t="n">
        <f aca="false">'GEV Quarterly'!F234</f>
        <v>1328</v>
      </c>
      <c r="H36" s="41" t="n">
        <f aca="false">'GEV Quarterly'!G234</f>
        <v>2593</v>
      </c>
      <c r="I36" s="41" t="n">
        <f aca="false">'GEV Quarterly'!H234</f>
        <v>1647</v>
      </c>
      <c r="J36" s="41" t="n">
        <f aca="false">'GEV Quarterly'!I234</f>
        <v>2490</v>
      </c>
      <c r="K36" s="41" t="n">
        <f aca="false">'GEV Quarterly'!J247</f>
        <v>1150</v>
      </c>
      <c r="L36" s="41" t="n">
        <f aca="false">'GEV Quarterly'!K247</f>
        <v>1066</v>
      </c>
      <c r="M36" s="37"/>
    </row>
    <row r="37" customFormat="false" ht="15" hidden="false" customHeight="false" outlineLevel="0" collapsed="false">
      <c r="B37" s="40" t="s">
        <v>385</v>
      </c>
      <c r="C37" s="41" t="n">
        <f aca="false">'GEV Quarterly'!B111</f>
        <v>1639</v>
      </c>
      <c r="D37" s="41" t="n">
        <f aca="false">'GEV Quarterly'!C111</f>
        <v>2062</v>
      </c>
      <c r="E37" s="41" t="n">
        <f aca="false">'GEV Quarterly'!D111</f>
        <v>2891</v>
      </c>
      <c r="F37" s="41" t="n">
        <f aca="false">'GEV Quarterly'!E111</f>
        <v>3109</v>
      </c>
      <c r="G37" s="41" t="n">
        <f aca="false">'GEV Quarterly'!F111</f>
        <v>1850</v>
      </c>
      <c r="H37" s="41" t="n">
        <f aca="false">'GEV Quarterly'!G111</f>
        <v>2245</v>
      </c>
      <c r="I37" s="41" t="n">
        <f aca="false">'GEV Quarterly'!H111</f>
        <v>2647</v>
      </c>
      <c r="J37" s="41" t="n">
        <f aca="false">'GEV Quarterly'!I111</f>
        <v>2368</v>
      </c>
      <c r="K37" s="41" t="n">
        <f aca="false">'GEV Quarterly'!J163</f>
        <v>1432</v>
      </c>
      <c r="L37" s="41" t="n">
        <f aca="false">'GEV Quarterly'!K163</f>
        <v>2026</v>
      </c>
      <c r="M37" s="37"/>
    </row>
    <row r="38" customFormat="false" ht="15" hidden="false" customHeight="false" outlineLevel="0" collapsed="false">
      <c r="B38" s="40" t="s">
        <v>386</v>
      </c>
      <c r="D38" s="47" t="n">
        <f aca="false">IF((D34+D35)&lt;&gt;0,D37/(D34+D35),"")</f>
        <v>0.0788105794221067</v>
      </c>
      <c r="E38" s="47" t="n">
        <f aca="false">IF((E34+E35)&lt;&gt;0,E37/(E34+E35),"")</f>
        <v>0.112171652504559</v>
      </c>
      <c r="F38" s="47" t="n">
        <f aca="false">IF((F34+F35)&lt;&gt;0,F37/(F34+F35),"")</f>
        <v>0.124514397853338</v>
      </c>
      <c r="G38" s="47" t="n">
        <f aca="false">IF((G34+G35)&lt;&gt;0,G37/(G34+G35),"")</f>
        <v>0.0815624724451107</v>
      </c>
      <c r="H38" s="47" t="n">
        <f aca="false">IF((H34+H35)&lt;&gt;0,H37/(H34+H35),"")</f>
        <v>0.101308664259928</v>
      </c>
      <c r="I38" s="47" t="n">
        <f aca="false">IF((I34+I35)&lt;&gt;0,I37/(I34+I35),"")</f>
        <v>0.117602630175937</v>
      </c>
      <c r="J38" s="47" t="n">
        <f aca="false">IF((J34+J35)&lt;&gt;0,J37/(J34+J35),"")</f>
        <v>0.110098567974707</v>
      </c>
      <c r="K38" s="47" t="n">
        <f aca="false">IF((K34+K35)&lt;&gt;0,K37/(K34+K35),"")</f>
        <v>0.0662043458159963</v>
      </c>
      <c r="L38" s="47" t="n">
        <f aca="false">IF((L34+L35)&lt;&gt;0,L37/(L34+L35),"")</f>
        <v>0.0949035038411092</v>
      </c>
      <c r="M38" s="37"/>
    </row>
    <row r="39" customFormat="false" ht="15" hidden="false" customHeight="false" outlineLevel="0" collapsed="false">
      <c r="B39" s="42" t="s">
        <v>387</v>
      </c>
      <c r="C39" s="43" t="n">
        <f aca="false">'GEV Quarterly'!B233</f>
        <v>26164</v>
      </c>
      <c r="D39" s="43" t="n">
        <f aca="false">D34+D35+D36-D37</f>
        <v>25773</v>
      </c>
      <c r="E39" s="43" t="n">
        <f aca="false">E34+E35+E36-E37</f>
        <v>24969</v>
      </c>
      <c r="F39" s="43" t="n">
        <f aca="false">F34+F35+F36-F37</f>
        <v>22682</v>
      </c>
      <c r="G39" s="43" t="n">
        <f aca="false">G34+G35+G36-G37</f>
        <v>22160</v>
      </c>
      <c r="H39" s="43" t="n">
        <f aca="false">H34+H35+H36-H37</f>
        <v>22508</v>
      </c>
      <c r="I39" s="43" t="n">
        <f aca="false">I34+I35+I36-I37</f>
        <v>21508</v>
      </c>
      <c r="J39" s="43" t="n">
        <f aca="false">J34+J35+J36-J37</f>
        <v>21630</v>
      </c>
      <c r="K39" s="43" t="n">
        <f aca="false">K34+K35+K36-K37</f>
        <v>21348</v>
      </c>
      <c r="L39" s="43" t="n">
        <f aca="false">L34+L35+L36-L37</f>
        <v>20388</v>
      </c>
      <c r="M39" s="37"/>
    </row>
    <row r="40" customFormat="false" ht="15" hidden="false" customHeight="false" outlineLevel="0" collapsed="false">
      <c r="M40" s="37"/>
    </row>
    <row r="41" customFormat="false" ht="15" hidden="false" customHeight="false" outlineLevel="0" collapsed="false">
      <c r="B41" s="46" t="s">
        <v>388</v>
      </c>
      <c r="M41" s="37"/>
    </row>
    <row r="42" customFormat="false" ht="15" hidden="false" customHeight="false" outlineLevel="0" collapsed="false">
      <c r="B42" s="40" t="s">
        <v>382</v>
      </c>
      <c r="D42" s="41" t="n">
        <f aca="false">C47</f>
        <v>13119</v>
      </c>
      <c r="E42" s="41" t="n">
        <f aca="false">D47</f>
        <v>13147</v>
      </c>
      <c r="F42" s="41" t="n">
        <f aca="false">E47</f>
        <v>12182</v>
      </c>
      <c r="G42" s="41" t="n">
        <f aca="false">F47</f>
        <v>10720</v>
      </c>
      <c r="H42" s="41" t="n">
        <f aca="false">G47</f>
        <v>9676</v>
      </c>
      <c r="I42" s="41" t="n">
        <f aca="false">H47</f>
        <v>9731</v>
      </c>
      <c r="J42" s="41" t="n">
        <f aca="false">I47</f>
        <v>8782</v>
      </c>
      <c r="K42" s="41" t="n">
        <f aca="false">J47</f>
        <v>9112</v>
      </c>
      <c r="L42" s="41" t="n">
        <f aca="false">K47</f>
        <v>8905</v>
      </c>
      <c r="M42" s="37"/>
    </row>
    <row r="43" customFormat="false" ht="15" hidden="false" customHeight="false" outlineLevel="0" collapsed="false">
      <c r="B43" s="40" t="s">
        <v>383</v>
      </c>
      <c r="K43" s="41" t="n">
        <f aca="false">'GEV Quarterly'!I244-'GEV Quarterly'!I231</f>
        <v>0</v>
      </c>
      <c r="M43" s="37"/>
    </row>
    <row r="44" customFormat="false" ht="15" hidden="false" customHeight="false" outlineLevel="0" collapsed="false">
      <c r="B44" s="40" t="s">
        <v>384</v>
      </c>
      <c r="D44" s="41" t="n">
        <f aca="false">'GEV Quarterly'!C231-'GEV Quarterly'!B231+'GEV Quarterly'!C149</f>
        <v>1696</v>
      </c>
      <c r="E44" s="41" t="n">
        <f aca="false">'GEV Quarterly'!D231-'GEV Quarterly'!C231+'GEV Quarterly'!D149</f>
        <v>1529</v>
      </c>
      <c r="F44" s="41" t="n">
        <f aca="false">'GEV Quarterly'!E231-'GEV Quarterly'!D231+'GEV Quarterly'!E149</f>
        <v>1191</v>
      </c>
      <c r="G44" s="41" t="n">
        <f aca="false">'GEV Quarterly'!F231-'GEV Quarterly'!E231+'GEV Quarterly'!F149</f>
        <v>368</v>
      </c>
      <c r="H44" s="41" t="n">
        <f aca="false">'GEV Quarterly'!G231-'GEV Quarterly'!F231+'GEV Quarterly'!G149</f>
        <v>1852</v>
      </c>
      <c r="I44" s="41" t="n">
        <f aca="false">'GEV Quarterly'!H231-'GEV Quarterly'!G231+'GEV Quarterly'!H149</f>
        <v>1254</v>
      </c>
      <c r="J44" s="41" t="n">
        <f aca="false">'GEV Quarterly'!I231-'GEV Quarterly'!H231+'GEV Quarterly'!I149</f>
        <v>2169</v>
      </c>
      <c r="K44" s="41" t="n">
        <f aca="false">'GEV Quarterly'!J244-'GEV Quarterly'!I244+'GEV Quarterly'!J201</f>
        <v>682</v>
      </c>
      <c r="L44" s="41" t="n">
        <f aca="false">'GEV Quarterly'!K244-'GEV Quarterly'!J244+'GEV Quarterly'!K201</f>
        <v>687</v>
      </c>
      <c r="M44" s="37"/>
    </row>
    <row r="45" customFormat="false" ht="15" hidden="false" customHeight="false" outlineLevel="0" collapsed="false">
      <c r="B45" s="40" t="s">
        <v>385</v>
      </c>
      <c r="C45" s="41" t="n">
        <f aca="false">'GEV Quarterly'!B149</f>
        <v>1232</v>
      </c>
      <c r="D45" s="41" t="n">
        <f aca="false">'GEV Quarterly'!C149</f>
        <v>1668</v>
      </c>
      <c r="E45" s="41" t="n">
        <f aca="false">'GEV Quarterly'!D149</f>
        <v>2494</v>
      </c>
      <c r="F45" s="41" t="n">
        <f aca="false">'GEV Quarterly'!E149</f>
        <v>2653</v>
      </c>
      <c r="G45" s="41" t="n">
        <f aca="false">'GEV Quarterly'!F149</f>
        <v>1412</v>
      </c>
      <c r="H45" s="41" t="n">
        <f aca="false">'GEV Quarterly'!G149</f>
        <v>1797</v>
      </c>
      <c r="I45" s="41" t="n">
        <f aca="false">'GEV Quarterly'!H149</f>
        <v>2203</v>
      </c>
      <c r="J45" s="41" t="n">
        <f aca="false">'GEV Quarterly'!I149</f>
        <v>1839</v>
      </c>
      <c r="K45" s="41" t="n">
        <f aca="false">'GEV Quarterly'!J201</f>
        <v>889</v>
      </c>
      <c r="L45" s="41" t="n">
        <f aca="false">'GEV Quarterly'!K201</f>
        <v>1395</v>
      </c>
      <c r="M45" s="37"/>
    </row>
    <row r="46" customFormat="false" ht="15" hidden="false" customHeight="false" outlineLevel="0" collapsed="false">
      <c r="B46" s="40" t="s">
        <v>386</v>
      </c>
      <c r="D46" s="47" t="n">
        <f aca="false">IF((D42+D43)&lt;&gt;0,D45/(D42+D43),"")</f>
        <v>0.127143837182712</v>
      </c>
      <c r="E46" s="47" t="n">
        <f aca="false">IF((E42+E43)&lt;&gt;0,E45/(E42+E43),"")</f>
        <v>0.18970107248802</v>
      </c>
      <c r="F46" s="47" t="n">
        <f aca="false">IF((F42+F43)&lt;&gt;0,F45/(F42+F43),"")</f>
        <v>0.217780331636841</v>
      </c>
      <c r="G46" s="47" t="n">
        <f aca="false">IF((G42+G43)&lt;&gt;0,G45/(G42+G43),"")</f>
        <v>0.131716417910448</v>
      </c>
      <c r="H46" s="47" t="n">
        <f aca="false">IF((H42+H43)&lt;&gt;0,H45/(H42+H43),"")</f>
        <v>0.185717238528317</v>
      </c>
      <c r="I46" s="47" t="n">
        <f aca="false">IF((I42+I43)&lt;&gt;0,I45/(I42+I43),"")</f>
        <v>0.226389887986846</v>
      </c>
      <c r="J46" s="47" t="n">
        <f aca="false">IF((J42+J43)&lt;&gt;0,J45/(J42+J43),"")</f>
        <v>0.209405602368481</v>
      </c>
      <c r="K46" s="47" t="n">
        <f aca="false">IF((K42+K43)&lt;&gt;0,K45/(K42+K43),"")</f>
        <v>0.0975636523266023</v>
      </c>
      <c r="L46" s="47" t="n">
        <f aca="false">IF((L42+L43)&lt;&gt;0,L45/(L42+L43),"")</f>
        <v>0.15665356541269</v>
      </c>
      <c r="M46" s="37"/>
    </row>
    <row r="47" customFormat="false" ht="15" hidden="false" customHeight="false" outlineLevel="0" collapsed="false">
      <c r="B47" s="42" t="s">
        <v>387</v>
      </c>
      <c r="C47" s="43" t="n">
        <f aca="false">'GEV Quarterly'!B231</f>
        <v>13119</v>
      </c>
      <c r="D47" s="43" t="n">
        <f aca="false">D42+D43+D44-D45</f>
        <v>13147</v>
      </c>
      <c r="E47" s="43" t="n">
        <f aca="false">E42+E43+E44-E45</f>
        <v>12182</v>
      </c>
      <c r="F47" s="43" t="n">
        <f aca="false">F42+F43+F44-F45</f>
        <v>10720</v>
      </c>
      <c r="G47" s="43" t="n">
        <f aca="false">G42+G43+G44-G45</f>
        <v>9676</v>
      </c>
      <c r="H47" s="43" t="n">
        <f aca="false">H42+H43+H44-H45</f>
        <v>9731</v>
      </c>
      <c r="I47" s="43" t="n">
        <f aca="false">I42+I43+I44-I45</f>
        <v>8782</v>
      </c>
      <c r="J47" s="43" t="n">
        <f aca="false">J42+J43+J44-J45</f>
        <v>9112</v>
      </c>
      <c r="K47" s="43" t="n">
        <f aca="false">K42+K43+K44-K45</f>
        <v>8905</v>
      </c>
      <c r="L47" s="43" t="n">
        <f aca="false">L42+L43+L44-L45</f>
        <v>8197</v>
      </c>
      <c r="M47" s="37"/>
    </row>
    <row r="48" customFormat="false" ht="15" hidden="false" customHeight="false" outlineLevel="0" collapsed="false">
      <c r="M48" s="37"/>
    </row>
    <row r="49" customFormat="false" ht="15" hidden="false" customHeight="false" outlineLevel="0" collapsed="false">
      <c r="B49" s="46" t="s">
        <v>389</v>
      </c>
      <c r="M49" s="37"/>
    </row>
    <row r="50" customFormat="false" ht="15" hidden="false" customHeight="false" outlineLevel="0" collapsed="false">
      <c r="B50" s="40" t="s">
        <v>382</v>
      </c>
      <c r="D50" s="41" t="n">
        <f aca="false">C55</f>
        <v>13045</v>
      </c>
      <c r="E50" s="41" t="n">
        <f aca="false">D55</f>
        <v>12626</v>
      </c>
      <c r="F50" s="41" t="n">
        <f aca="false">E55</f>
        <v>12788</v>
      </c>
      <c r="G50" s="41" t="n">
        <f aca="false">F55</f>
        <v>11962</v>
      </c>
      <c r="H50" s="41" t="n">
        <f aca="false">G55</f>
        <v>12484</v>
      </c>
      <c r="I50" s="41" t="n">
        <f aca="false">H55</f>
        <v>12777</v>
      </c>
      <c r="J50" s="41" t="n">
        <f aca="false">I55</f>
        <v>12726</v>
      </c>
      <c r="K50" s="41" t="n">
        <f aca="false">J55</f>
        <v>12518</v>
      </c>
      <c r="L50" s="41" t="n">
        <f aca="false">K55</f>
        <v>12443</v>
      </c>
      <c r="M50" s="37"/>
    </row>
    <row r="51" customFormat="false" ht="15" hidden="false" customHeight="false" outlineLevel="0" collapsed="false">
      <c r="B51" s="40" t="s">
        <v>383</v>
      </c>
      <c r="K51" s="41" t="n">
        <f aca="false">'GEV Quarterly'!I245-'GEV Quarterly'!I232</f>
        <v>0</v>
      </c>
      <c r="M51" s="37"/>
    </row>
    <row r="52" customFormat="false" ht="15" hidden="false" customHeight="false" outlineLevel="0" collapsed="false">
      <c r="B52" s="40" t="s">
        <v>384</v>
      </c>
      <c r="D52" s="41" t="n">
        <f aca="false">'GEV Quarterly'!C232-'GEV Quarterly'!B232+'GEV Quarterly'!C150</f>
        <v>-25</v>
      </c>
      <c r="E52" s="41" t="n">
        <f aca="false">'GEV Quarterly'!D232-'GEV Quarterly'!C232+'GEV Quarterly'!D150</f>
        <v>559</v>
      </c>
      <c r="F52" s="41" t="n">
        <f aca="false">'GEV Quarterly'!E232-'GEV Quarterly'!D232+'GEV Quarterly'!E150</f>
        <v>-370</v>
      </c>
      <c r="G52" s="41" t="n">
        <f aca="false">'GEV Quarterly'!F232-'GEV Quarterly'!E232+'GEV Quarterly'!F150</f>
        <v>960</v>
      </c>
      <c r="H52" s="41" t="n">
        <f aca="false">'GEV Quarterly'!G232-'GEV Quarterly'!F232+'GEV Quarterly'!G150</f>
        <v>741</v>
      </c>
      <c r="I52" s="41" t="n">
        <f aca="false">'GEV Quarterly'!H232-'GEV Quarterly'!G232+'GEV Quarterly'!H150</f>
        <v>394</v>
      </c>
      <c r="J52" s="41" t="n">
        <f aca="false">'GEV Quarterly'!I232-'GEV Quarterly'!H232+'GEV Quarterly'!I150</f>
        <v>320</v>
      </c>
      <c r="K52" s="41" t="n">
        <f aca="false">'GEV Quarterly'!J245-'GEV Quarterly'!I245+'GEV Quarterly'!J202</f>
        <v>468</v>
      </c>
      <c r="L52" s="41" t="n">
        <f aca="false">'GEV Quarterly'!K245-'GEV Quarterly'!J245+'GEV Quarterly'!K202</f>
        <v>380</v>
      </c>
      <c r="M52" s="37"/>
    </row>
    <row r="53" customFormat="false" ht="15" hidden="false" customHeight="false" outlineLevel="0" collapsed="false">
      <c r="B53" s="40" t="s">
        <v>385</v>
      </c>
      <c r="C53" s="41" t="n">
        <f aca="false">'GEV Quarterly'!B150</f>
        <v>407</v>
      </c>
      <c r="D53" s="41" t="n">
        <f aca="false">'GEV Quarterly'!C150</f>
        <v>394</v>
      </c>
      <c r="E53" s="41" t="n">
        <f aca="false">'GEV Quarterly'!D150</f>
        <v>397</v>
      </c>
      <c r="F53" s="41" t="n">
        <f aca="false">'GEV Quarterly'!E150</f>
        <v>456</v>
      </c>
      <c r="G53" s="41" t="n">
        <f aca="false">'GEV Quarterly'!F150</f>
        <v>438</v>
      </c>
      <c r="H53" s="41" t="n">
        <f aca="false">'GEV Quarterly'!G150</f>
        <v>448</v>
      </c>
      <c r="I53" s="41" t="n">
        <f aca="false">'GEV Quarterly'!H150</f>
        <v>445</v>
      </c>
      <c r="J53" s="41" t="n">
        <f aca="false">'GEV Quarterly'!I150</f>
        <v>528</v>
      </c>
      <c r="K53" s="41" t="n">
        <f aca="false">'GEV Quarterly'!J202</f>
        <v>543</v>
      </c>
      <c r="L53" s="41" t="n">
        <f aca="false">'GEV Quarterly'!K202</f>
        <v>632</v>
      </c>
      <c r="M53" s="37"/>
    </row>
    <row r="54" customFormat="false" ht="15" hidden="false" customHeight="false" outlineLevel="0" collapsed="false">
      <c r="B54" s="40" t="s">
        <v>386</v>
      </c>
      <c r="D54" s="47" t="n">
        <f aca="false">IF((D50+D51)&lt;&gt;0,D53/(D50+D51),"")</f>
        <v>0.0302031429666539</v>
      </c>
      <c r="E54" s="47" t="n">
        <f aca="false">IF((E50+E51)&lt;&gt;0,E53/(E50+E51),"")</f>
        <v>0.0314430540155235</v>
      </c>
      <c r="F54" s="47" t="n">
        <f aca="false">IF((F50+F51)&lt;&gt;0,F53/(F50+F51),"")</f>
        <v>0.0356584297779168</v>
      </c>
      <c r="G54" s="47" t="n">
        <f aca="false">IF((G50+G51)&lt;&gt;0,G53/(G50+G51),"")</f>
        <v>0.0366159505099482</v>
      </c>
      <c r="H54" s="47" t="n">
        <f aca="false">IF((H50+H51)&lt;&gt;0,H53/(H50+H51),"")</f>
        <v>0.0358859339955143</v>
      </c>
      <c r="I54" s="47" t="n">
        <f aca="false">IF((I50+I51)&lt;&gt;0,I53/(I50+I51),"")</f>
        <v>0.0348282069343351</v>
      </c>
      <c r="J54" s="47" t="n">
        <f aca="false">IF((J50+J51)&lt;&gt;0,J53/(J50+J51),"")</f>
        <v>0.0414898632720415</v>
      </c>
      <c r="K54" s="47" t="n">
        <f aca="false">IF((K50+K51)&lt;&gt;0,K53/(K50+K51),"")</f>
        <v>0.0433775363476594</v>
      </c>
      <c r="L54" s="47" t="n">
        <f aca="false">IF((L50+L51)&lt;&gt;0,L53/(L50+L51),"")</f>
        <v>0.0507916097404163</v>
      </c>
      <c r="M54" s="37"/>
    </row>
    <row r="55" customFormat="false" ht="15" hidden="false" customHeight="false" outlineLevel="0" collapsed="false">
      <c r="B55" s="42" t="s">
        <v>387</v>
      </c>
      <c r="C55" s="43" t="n">
        <f aca="false">'GEV Quarterly'!B232</f>
        <v>13045</v>
      </c>
      <c r="D55" s="43" t="n">
        <f aca="false">D50+D51+D52-D53</f>
        <v>12626</v>
      </c>
      <c r="E55" s="43" t="n">
        <f aca="false">E50+E51+E52-E53</f>
        <v>12788</v>
      </c>
      <c r="F55" s="43" t="n">
        <f aca="false">F50+F51+F52-F53</f>
        <v>11962</v>
      </c>
      <c r="G55" s="43" t="n">
        <f aca="false">G50+G51+G52-G53</f>
        <v>12484</v>
      </c>
      <c r="H55" s="43" t="n">
        <f aca="false">H50+H51+H52-H53</f>
        <v>12777</v>
      </c>
      <c r="I55" s="43" t="n">
        <f aca="false">I50+I51+I52-I53</f>
        <v>12726</v>
      </c>
      <c r="J55" s="43" t="n">
        <f aca="false">J50+J51+J52-J53</f>
        <v>12518</v>
      </c>
      <c r="K55" s="43" t="n">
        <f aca="false">K50+K51+K52-K53</f>
        <v>12443</v>
      </c>
      <c r="L55" s="43" t="n">
        <f aca="false">L50+L51+L52-L53</f>
        <v>12191</v>
      </c>
      <c r="M55" s="37"/>
    </row>
    <row r="56" customFormat="false" ht="15" hidden="false" customHeight="false" outlineLevel="0" collapsed="false">
      <c r="M56" s="37"/>
    </row>
    <row r="57" customFormat="false" ht="15" hidden="false" customHeight="false" outlineLevel="0" collapsed="false">
      <c r="B57" s="46" t="s">
        <v>390</v>
      </c>
      <c r="M57" s="37"/>
    </row>
    <row r="58" customFormat="false" ht="15" hidden="false" customHeight="false" outlineLevel="0" collapsed="false">
      <c r="B58" s="40" t="s">
        <v>391</v>
      </c>
      <c r="D58" s="52" t="n">
        <f aca="false">IF(D37&lt;&gt;0,D36/D37,"")</f>
        <v>0.810378273520854</v>
      </c>
      <c r="E58" s="52" t="n">
        <f aca="false">IF(E37&lt;&gt;0,E36/E37,"")</f>
        <v>0.721895537876167</v>
      </c>
      <c r="F58" s="52" t="n">
        <f aca="false">IF(F37&lt;&gt;0,F36/F37,"")</f>
        <v>0.264393695722097</v>
      </c>
      <c r="G58" s="52" t="n">
        <f aca="false">IF(G37&lt;&gt;0,G36/G37,"")</f>
        <v>0.717837837837838</v>
      </c>
      <c r="H58" s="52" t="n">
        <f aca="false">IF(H37&lt;&gt;0,H36/H37,"")</f>
        <v>1.15501113585746</v>
      </c>
      <c r="I58" s="52" t="n">
        <f aca="false">IF(I37&lt;&gt;0,I36/I37,"")</f>
        <v>0.622213826973933</v>
      </c>
      <c r="J58" s="52" t="n">
        <f aca="false">IF(J37&lt;&gt;0,J36/J37,"")</f>
        <v>1.05152027027027</v>
      </c>
      <c r="K58" s="52" t="n">
        <f aca="false">IF(K37&lt;&gt;0,K36/K37,"")</f>
        <v>0.803072625698324</v>
      </c>
      <c r="L58" s="52" t="n">
        <f aca="false">IF(L37&lt;&gt;0,L36/L37,"")</f>
        <v>0.526159921026654</v>
      </c>
      <c r="M58" s="37"/>
    </row>
    <row r="59" customFormat="false" ht="15" hidden="false" customHeight="false" outlineLevel="0" collapsed="false">
      <c r="B59" s="40" t="s">
        <v>392</v>
      </c>
      <c r="D59" s="52" t="n">
        <f aca="false">IF(D45&lt;&gt;0,D44/D45,"")</f>
        <v>1.01678657074341</v>
      </c>
      <c r="E59" s="52" t="n">
        <f aca="false">IF(E45&lt;&gt;0,E44/E45,"")</f>
        <v>0.613071371291099</v>
      </c>
      <c r="F59" s="52" t="n">
        <f aca="false">IF(F45&lt;&gt;0,F44/F45,"")</f>
        <v>0.448925744440256</v>
      </c>
      <c r="G59" s="52" t="n">
        <f aca="false">IF(G45&lt;&gt;0,G44/G45,"")</f>
        <v>0.260623229461756</v>
      </c>
      <c r="H59" s="52" t="n">
        <f aca="false">IF(H45&lt;&gt;0,H44/H45,"")</f>
        <v>1.03060656649972</v>
      </c>
      <c r="I59" s="52" t="n">
        <f aca="false">IF(I45&lt;&gt;0,I44/I45,"")</f>
        <v>0.569223785746709</v>
      </c>
      <c r="J59" s="52" t="n">
        <f aca="false">IF(J45&lt;&gt;0,J44/J45,"")</f>
        <v>1.17944535073409</v>
      </c>
      <c r="K59" s="52" t="n">
        <f aca="false">IF(K45&lt;&gt;0,K44/K45,"")</f>
        <v>0.767154105736783</v>
      </c>
      <c r="L59" s="52" t="n">
        <f aca="false">IF(L45&lt;&gt;0,L44/L45,"")</f>
        <v>0.49247311827957</v>
      </c>
      <c r="M59" s="37"/>
    </row>
    <row r="60" customFormat="false" ht="15" hidden="false" customHeight="false" outlineLevel="0" collapsed="false">
      <c r="B60" s="40" t="s">
        <v>393</v>
      </c>
      <c r="G60" s="47" t="n">
        <f aca="false">IF(C39&lt;&gt;0,G39/C39-1,"")</f>
        <v>-0.153034704173674</v>
      </c>
      <c r="H60" s="47" t="n">
        <f aca="false">IF(D39&lt;&gt;0,H39/D39-1,"")</f>
        <v>-0.126682962790517</v>
      </c>
      <c r="I60" s="47" t="n">
        <f aca="false">IF(E39&lt;&gt;0,I39/E39-1,"")</f>
        <v>-0.138611878729625</v>
      </c>
      <c r="J60" s="47" t="n">
        <f aca="false">IF(F39&lt;&gt;0,J39/F39-1,"")</f>
        <v>-0.0463803897363548</v>
      </c>
      <c r="K60" s="47" t="n">
        <f aca="false">K39/'GEV Quarterly'!F246-1</f>
        <v>-0.0366425992779783</v>
      </c>
      <c r="L60" s="47" t="n">
        <f aca="false">L39/'GEV Quarterly'!G246-1</f>
        <v>-0.0941887328949707</v>
      </c>
      <c r="M60" s="37"/>
    </row>
    <row r="61" customFormat="false" ht="15" hidden="false" customHeight="false" outlineLevel="0" collapsed="false">
      <c r="B61" s="40" t="s">
        <v>394</v>
      </c>
      <c r="C61" s="52" t="n">
        <f aca="false">IF(C37&lt;&gt;0,C39/(C37*4),"")</f>
        <v>3.9908480780964</v>
      </c>
      <c r="D61" s="52" t="n">
        <f aca="false">IF(D37&lt;&gt;0,D39/(D37*4),"")</f>
        <v>3.12475751697381</v>
      </c>
      <c r="E61" s="52" t="n">
        <f aca="false">IF(E37&lt;&gt;0,E39/(E37*4),"")</f>
        <v>2.159200968523</v>
      </c>
      <c r="F61" s="52" t="n">
        <f aca="false">IF(F37&lt;&gt;0,F39/(F37*4),"")</f>
        <v>1.82389835960116</v>
      </c>
      <c r="G61" s="52" t="n">
        <f aca="false">IF(G37&lt;&gt;0,G39/(G37*4),"")</f>
        <v>2.99459459459459</v>
      </c>
      <c r="H61" s="52" t="n">
        <f aca="false">IF(H37&lt;&gt;0,H39/(H37*4),"")</f>
        <v>2.50645879732739</v>
      </c>
      <c r="I61" s="52" t="n">
        <f aca="false">IF(I37&lt;&gt;0,I39/(I37*4),"")</f>
        <v>2.03135625236116</v>
      </c>
      <c r="J61" s="52" t="n">
        <f aca="false">IF(J37&lt;&gt;0,J39/(J37*4),"")</f>
        <v>2.28357263513514</v>
      </c>
      <c r="K61" s="52" t="n">
        <f aca="false">IF(K37&lt;&gt;0,K39/(K37*4),"")</f>
        <v>3.72695530726257</v>
      </c>
      <c r="L61" s="52" t="n">
        <f aca="false">IF(L37&lt;&gt;0,L39/(L37*4),"")</f>
        <v>2.51579466929911</v>
      </c>
      <c r="M61" s="37"/>
    </row>
    <row r="62" customFormat="false" ht="15" hidden="false" customHeight="false" outlineLevel="0" collapsed="false">
      <c r="B62" s="40" t="s">
        <v>137</v>
      </c>
      <c r="C62" s="47" t="n">
        <f aca="false">IF((C45+C53)&lt;&gt;0,C53/(C45+C53),"")</f>
        <v>0.248322147651007</v>
      </c>
      <c r="D62" s="47" t="n">
        <f aca="false">IF((D45+D53)&lt;&gt;0,D53/(D45+D53),"")</f>
        <v>0.191076624636275</v>
      </c>
      <c r="E62" s="47" t="n">
        <f aca="false">IF((E45+E53)&lt;&gt;0,E53/(E45+E53),"")</f>
        <v>0.13732272570045</v>
      </c>
      <c r="F62" s="47" t="n">
        <f aca="false">IF((F45+F53)&lt;&gt;0,F53/(F45+F53),"")</f>
        <v>0.14667095529109</v>
      </c>
      <c r="G62" s="47" t="n">
        <f aca="false">IF((G45+G53)&lt;&gt;0,G53/(G45+G53),"")</f>
        <v>0.236756756756757</v>
      </c>
      <c r="H62" s="47" t="n">
        <f aca="false">IF((H45+H53)&lt;&gt;0,H53/(H45+H53),"")</f>
        <v>0.199554565701559</v>
      </c>
      <c r="I62" s="47" t="n">
        <f aca="false">IF((I45+I53)&lt;&gt;0,I53/(I45+I53),"")</f>
        <v>0.168051359516616</v>
      </c>
      <c r="J62" s="47" t="n">
        <f aca="false">IF((J45+J53)&lt;&gt;0,J53/(J45+J53),"")</f>
        <v>0.223067173637516</v>
      </c>
      <c r="K62" s="47" t="n">
        <f aca="false">IF((K45+K53)&lt;&gt;0,K53/(K45+K53),"")</f>
        <v>0.379189944134078</v>
      </c>
      <c r="L62" s="47" t="n">
        <f aca="false">IF((L45+L53)&lt;&gt;0,L53/(L45+L53),"")</f>
        <v>0.311790823877652</v>
      </c>
      <c r="M62" s="37"/>
    </row>
    <row r="63" customFormat="false" ht="15" hidden="false" customHeight="false" outlineLevel="0" collapsed="false">
      <c r="M63" s="37"/>
    </row>
    <row r="64" customFormat="false" ht="15" hidden="false" customHeight="false" outlineLevel="0" collapsed="false">
      <c r="B64" s="46" t="s">
        <v>395</v>
      </c>
      <c r="M64" s="37"/>
    </row>
    <row r="65" customFormat="false" ht="15" hidden="false" customHeight="false" outlineLevel="0" collapsed="false">
      <c r="B65" s="44" t="s">
        <v>396</v>
      </c>
      <c r="C65" s="45" t="n">
        <f aca="false">ABS(C39-'GEV Quarterly'!B233)+ABS(C47-'GEV Quarterly'!B231)+ABS(C55-'GEV Quarterly'!B232)</f>
        <v>0</v>
      </c>
      <c r="D65" s="45" t="n">
        <f aca="false">ABS(D39-'GEV Quarterly'!C233)+ABS(D47-'GEV Quarterly'!C231)+ABS(D55-'GEV Quarterly'!C232)</f>
        <v>0</v>
      </c>
      <c r="E65" s="45" t="n">
        <f aca="false">ABS(E39-'GEV Quarterly'!D233)+ABS(E47-'GEV Quarterly'!D231)+ABS(E55-'GEV Quarterly'!D232)</f>
        <v>0</v>
      </c>
      <c r="F65" s="45" t="n">
        <f aca="false">ABS(F39-'GEV Quarterly'!E233)+ABS(F47-'GEV Quarterly'!E231)+ABS(F55-'GEV Quarterly'!E232)</f>
        <v>0</v>
      </c>
      <c r="G65" s="45" t="n">
        <f aca="false">ABS(G39-'GEV Quarterly'!F233)+ABS(G47-'GEV Quarterly'!F231)+ABS(G55-'GEV Quarterly'!F232)</f>
        <v>0</v>
      </c>
      <c r="H65" s="45" t="n">
        <f aca="false">ABS(H39-'GEV Quarterly'!G233)+ABS(H47-'GEV Quarterly'!G231)+ABS(H55-'GEV Quarterly'!G232)</f>
        <v>0</v>
      </c>
      <c r="I65" s="45" t="n">
        <f aca="false">ABS(I39-'GEV Quarterly'!H233)+ABS(I47-'GEV Quarterly'!H231)+ABS(I55-'GEV Quarterly'!H232)</f>
        <v>0</v>
      </c>
      <c r="J65" s="45" t="n">
        <f aca="false">ABS(J39-'GEV Quarterly'!I233)+ABS(J47-'GEV Quarterly'!I231)+ABS(J55-'GEV Quarterly'!I232)</f>
        <v>0</v>
      </c>
      <c r="K65" s="45" t="n">
        <f aca="false">ABS(K39-'GEV Quarterly'!J246)+ABS(K47-'GEV Quarterly'!J244)+ABS(K55-'GEV Quarterly'!J245)</f>
        <v>0</v>
      </c>
      <c r="L65" s="45" t="n">
        <f aca="false">ABS(L39-'GEV Quarterly'!K246)+ABS(L47-'GEV Quarterly'!K244)+ABS(L55-'GEV Quarterly'!K245)</f>
        <v>0</v>
      </c>
      <c r="M65" s="37"/>
    </row>
    <row r="66" customFormat="false" ht="15" hidden="false" customHeight="false" outlineLevel="0" collapsed="false">
      <c r="B66" s="44" t="s">
        <v>397</v>
      </c>
      <c r="C66" s="45" t="n">
        <f aca="false">C47+C55-C39</f>
        <v>0</v>
      </c>
      <c r="D66" s="45" t="n">
        <f aca="false">D47+D55-D39</f>
        <v>0</v>
      </c>
      <c r="E66" s="45" t="n">
        <f aca="false">E47+E55-E39</f>
        <v>1</v>
      </c>
      <c r="F66" s="45" t="n">
        <f aca="false">F47+F55-F39</f>
        <v>0</v>
      </c>
      <c r="G66" s="45" t="n">
        <f aca="false">G47+G55-G39</f>
        <v>0</v>
      </c>
      <c r="H66" s="45" t="n">
        <f aca="false">H47+H55-H39</f>
        <v>0</v>
      </c>
      <c r="I66" s="45" t="n">
        <f aca="false">I47+I55-I39</f>
        <v>0</v>
      </c>
      <c r="J66" s="45" t="n">
        <f aca="false">J47+J55-J39</f>
        <v>0</v>
      </c>
      <c r="K66" s="45" t="n">
        <f aca="false">K47+K55-K39</f>
        <v>0</v>
      </c>
      <c r="L66" s="45" t="n">
        <f aca="false">L47+L55-L39</f>
        <v>0</v>
      </c>
      <c r="M66" s="37"/>
    </row>
    <row r="67" customFormat="false" ht="15" hidden="false" customHeight="false" outlineLevel="0" collapsed="false">
      <c r="B67" s="44" t="s">
        <v>398</v>
      </c>
      <c r="C67" s="45" t="n">
        <f aca="false">C45+C53-C37</f>
        <v>0</v>
      </c>
      <c r="D67" s="45" t="n">
        <f aca="false">D45+D53-D37</f>
        <v>0</v>
      </c>
      <c r="E67" s="45" t="n">
        <f aca="false">E45+E53-E37</f>
        <v>0</v>
      </c>
      <c r="F67" s="45" t="n">
        <f aca="false">F45+F53-F37</f>
        <v>0</v>
      </c>
      <c r="G67" s="45" t="n">
        <f aca="false">G45+G53-G37</f>
        <v>0</v>
      </c>
      <c r="H67" s="45" t="n">
        <f aca="false">H45+H53-H37</f>
        <v>0</v>
      </c>
      <c r="I67" s="45" t="n">
        <f aca="false">I45+I53-I37</f>
        <v>1</v>
      </c>
      <c r="J67" s="45" t="n">
        <f aca="false">J45+J53-J37</f>
        <v>-1</v>
      </c>
      <c r="K67" s="45" t="n">
        <f aca="false">K45+K53-K37</f>
        <v>0</v>
      </c>
      <c r="L67" s="45" t="n">
        <f aca="false">L45+L53-L37</f>
        <v>1</v>
      </c>
      <c r="M67" s="37"/>
    </row>
    <row r="68" customFormat="false" ht="15" hidden="false" customHeight="false" outlineLevel="0" collapsed="false">
      <c r="B68" s="40" t="s">
        <v>399</v>
      </c>
      <c r="M68" s="37"/>
    </row>
    <row r="69" customFormat="false" ht="15" hidden="false" customHeight="false" outlineLevel="0" collapsed="false">
      <c r="M69" s="37"/>
    </row>
    <row r="70" customFormat="false" ht="15" hidden="false" customHeight="false" outlineLevel="0" collapsed="false">
      <c r="B70" s="48" t="s">
        <v>112</v>
      </c>
      <c r="M70" s="37"/>
    </row>
    <row r="71" customFormat="false" ht="15" hidden="false" customHeight="false" outlineLevel="0" collapsed="false">
      <c r="B71" s="40" t="s">
        <v>382</v>
      </c>
      <c r="D71" s="41" t="n">
        <f aca="false">C76</f>
        <v>18069</v>
      </c>
      <c r="E71" s="41" t="n">
        <f aca="false">D76</f>
        <v>20679</v>
      </c>
      <c r="F71" s="41" t="n">
        <f aca="false">E76</f>
        <v>21912</v>
      </c>
      <c r="G71" s="41" t="n">
        <f aca="false">F76</f>
        <v>23453</v>
      </c>
      <c r="H71" s="41" t="n">
        <f aca="false">G76</f>
        <v>25462</v>
      </c>
      <c r="I71" s="41" t="n">
        <f aca="false">H76</f>
        <v>27530</v>
      </c>
      <c r="J71" s="41" t="n">
        <f aca="false">I76</f>
        <v>30179</v>
      </c>
      <c r="K71" s="41" t="n">
        <f aca="false">J76</f>
        <v>34667</v>
      </c>
      <c r="L71" s="41" t="n">
        <f aca="false">K76</f>
        <v>42440</v>
      </c>
      <c r="M71" s="37"/>
    </row>
    <row r="72" customFormat="false" ht="15" hidden="false" customHeight="false" outlineLevel="0" collapsed="false">
      <c r="B72" s="40" t="s">
        <v>383</v>
      </c>
      <c r="K72" s="41" t="n">
        <f aca="false">'GEV Quarterly'!I242-'GEV Quarterly'!I229</f>
        <v>-425</v>
      </c>
      <c r="M72" s="37"/>
    </row>
    <row r="73" customFormat="false" ht="15" hidden="false" customHeight="false" outlineLevel="0" collapsed="false">
      <c r="B73" s="40" t="s">
        <v>384</v>
      </c>
      <c r="D73" s="41" t="n">
        <f aca="false">'GEV Quarterly'!C230</f>
        <v>4400</v>
      </c>
      <c r="E73" s="41" t="n">
        <f aca="false">'GEV Quarterly'!D230</f>
        <v>3161</v>
      </c>
      <c r="F73" s="41" t="n">
        <f aca="false">'GEV Quarterly'!E230</f>
        <v>3722</v>
      </c>
      <c r="G73" s="41" t="n">
        <f aca="false">'GEV Quarterly'!F230</f>
        <v>3888</v>
      </c>
      <c r="H73" s="41" t="n">
        <f aca="false">'GEV Quarterly'!G230</f>
        <v>4269</v>
      </c>
      <c r="I73" s="41" t="n">
        <f aca="false">'GEV Quarterly'!H230</f>
        <v>5250</v>
      </c>
      <c r="J73" s="41" t="n">
        <f aca="false">'GEV Quarterly'!I230</f>
        <v>7449</v>
      </c>
      <c r="K73" s="41" t="n">
        <f aca="false">'GEV Quarterly'!J243</f>
        <v>11157</v>
      </c>
      <c r="L73" s="41" t="n">
        <f aca="false">'GEV Quarterly'!K243</f>
        <v>5760</v>
      </c>
      <c r="M73" s="37"/>
    </row>
    <row r="74" customFormat="false" ht="15" hidden="false" customHeight="false" outlineLevel="0" collapsed="false">
      <c r="B74" s="40" t="s">
        <v>385</v>
      </c>
      <c r="C74" s="41" t="n">
        <f aca="false">'GEV Quarterly'!B110</f>
        <v>1651</v>
      </c>
      <c r="D74" s="41" t="n">
        <f aca="false">'GEV Quarterly'!C110</f>
        <v>1790</v>
      </c>
      <c r="E74" s="41" t="n">
        <f aca="false">'GEV Quarterly'!D110</f>
        <v>1928</v>
      </c>
      <c r="F74" s="41" t="n">
        <f aca="false">'GEV Quarterly'!E110</f>
        <v>2181</v>
      </c>
      <c r="G74" s="41" t="n">
        <f aca="false">'GEV Quarterly'!F110</f>
        <v>1879</v>
      </c>
      <c r="H74" s="41" t="n">
        <f aca="false">'GEV Quarterly'!G110</f>
        <v>2201</v>
      </c>
      <c r="I74" s="41" t="n">
        <f aca="false">'GEV Quarterly'!H110</f>
        <v>2601</v>
      </c>
      <c r="J74" s="41" t="n">
        <f aca="false">'GEV Quarterly'!I110</f>
        <v>2961</v>
      </c>
      <c r="K74" s="41" t="n">
        <f aca="false">'GEV Quarterly'!J162</f>
        <v>2959</v>
      </c>
      <c r="L74" s="41" t="n">
        <f aca="false">'GEV Quarterly'!K162</f>
        <v>3637</v>
      </c>
      <c r="M74" s="37"/>
    </row>
    <row r="75" customFormat="false" ht="15" hidden="false" customHeight="false" outlineLevel="0" collapsed="false">
      <c r="B75" s="40" t="s">
        <v>386</v>
      </c>
      <c r="D75" s="47" t="n">
        <f aca="false">IF((D71+D72)&lt;&gt;0,D74/(D71+D72),"")</f>
        <v>0.099064696441419</v>
      </c>
      <c r="E75" s="47" t="n">
        <f aca="false">IF((E71+E72)&lt;&gt;0,E74/(E71+E72),"")</f>
        <v>0.0932346825281687</v>
      </c>
      <c r="F75" s="47" t="n">
        <f aca="false">IF((F71+F72)&lt;&gt;0,F74/(F71+F72),"")</f>
        <v>0.0995345016429354</v>
      </c>
      <c r="G75" s="47" t="n">
        <f aca="false">IF((G71+G72)&lt;&gt;0,G74/(G71+G72),"")</f>
        <v>0.0801176821728564</v>
      </c>
      <c r="H75" s="47" t="n">
        <f aca="false">IF((H71+H72)&lt;&gt;0,H74/(H71+H72),"")</f>
        <v>0.0864425418270364</v>
      </c>
      <c r="I75" s="47" t="n">
        <f aca="false">IF((I71+I72)&lt;&gt;0,I74/(I71+I72),"")</f>
        <v>0.0944787504540501</v>
      </c>
      <c r="J75" s="47" t="n">
        <f aca="false">IF((J71+J72)&lt;&gt;0,J74/(J71+J72),"")</f>
        <v>0.0981145829881706</v>
      </c>
      <c r="K75" s="47" t="n">
        <f aca="false">IF((K71+K72)&lt;&gt;0,K74/(K71+K72),"")</f>
        <v>0.0864143449564862</v>
      </c>
      <c r="L75" s="47" t="n">
        <f aca="false">IF((L71+L72)&lt;&gt;0,L74/(L71+L72),"")</f>
        <v>0.0856974552309142</v>
      </c>
      <c r="M75" s="37"/>
    </row>
    <row r="76" customFormat="false" ht="15" hidden="false" customHeight="false" outlineLevel="0" collapsed="false">
      <c r="B76" s="42" t="s">
        <v>387</v>
      </c>
      <c r="C76" s="43" t="n">
        <f aca="false">'GEV Quarterly'!B229</f>
        <v>18069</v>
      </c>
      <c r="D76" s="43" t="n">
        <f aca="false">D71+D72+D73-D74</f>
        <v>20679</v>
      </c>
      <c r="E76" s="43" t="n">
        <f aca="false">E71+E72+E73-E74</f>
        <v>21912</v>
      </c>
      <c r="F76" s="43" t="n">
        <f aca="false">F71+F72+F73-F74</f>
        <v>23453</v>
      </c>
      <c r="G76" s="43" t="n">
        <f aca="false">G71+G72+G73-G74</f>
        <v>25462</v>
      </c>
      <c r="H76" s="43" t="n">
        <f aca="false">H71+H72+H73-H74</f>
        <v>27530</v>
      </c>
      <c r="I76" s="43" t="n">
        <f aca="false">I71+I72+I73-I74</f>
        <v>30179</v>
      </c>
      <c r="J76" s="43" t="n">
        <f aca="false">J71+J72+J73-J74</f>
        <v>34667</v>
      </c>
      <c r="K76" s="43" t="n">
        <f aca="false">K71+K72+K73-K74</f>
        <v>42440</v>
      </c>
      <c r="L76" s="43" t="n">
        <f aca="false">L71+L72+L73-L74</f>
        <v>44563</v>
      </c>
      <c r="M76" s="37"/>
    </row>
    <row r="77" customFormat="false" ht="15" hidden="false" customHeight="false" outlineLevel="0" collapsed="false">
      <c r="M77" s="37"/>
    </row>
    <row r="78" customFormat="false" ht="15" hidden="false" customHeight="false" outlineLevel="0" collapsed="false">
      <c r="B78" s="46" t="s">
        <v>388</v>
      </c>
      <c r="M78" s="37"/>
    </row>
    <row r="79" customFormat="false" ht="15" hidden="false" customHeight="false" outlineLevel="0" collapsed="false">
      <c r="B79" s="40" t="s">
        <v>382</v>
      </c>
      <c r="D79" s="41" t="n">
        <f aca="false">C84</f>
        <v>14849</v>
      </c>
      <c r="E79" s="41" t="n">
        <f aca="false">D84</f>
        <v>17540</v>
      </c>
      <c r="F79" s="41" t="n">
        <f aca="false">E84</f>
        <v>18624</v>
      </c>
      <c r="G79" s="41" t="n">
        <f aca="false">F84</f>
        <v>20005</v>
      </c>
      <c r="H79" s="41" t="n">
        <f aca="false">G84</f>
        <v>21996</v>
      </c>
      <c r="I79" s="41" t="n">
        <f aca="false">H84</f>
        <v>23950</v>
      </c>
      <c r="J79" s="41" t="n">
        <f aca="false">I84</f>
        <v>26455</v>
      </c>
      <c r="K79" s="41" t="n">
        <f aca="false">J84</f>
        <v>30508</v>
      </c>
      <c r="L79" s="41" t="n">
        <f aca="false">K84</f>
        <v>38598</v>
      </c>
      <c r="M79" s="37"/>
    </row>
    <row r="80" customFormat="false" ht="15" hidden="false" customHeight="false" outlineLevel="0" collapsed="false">
      <c r="B80" s="40" t="s">
        <v>383</v>
      </c>
      <c r="K80" s="41" t="n">
        <f aca="false">'GEV Quarterly'!I240-'GEV Quarterly'!I227</f>
        <v>0</v>
      </c>
      <c r="M80" s="37"/>
    </row>
    <row r="81" customFormat="false" ht="15" hidden="false" customHeight="false" outlineLevel="0" collapsed="false">
      <c r="B81" s="40" t="s">
        <v>384</v>
      </c>
      <c r="D81" s="41" t="n">
        <f aca="false">'GEV Quarterly'!C227-'GEV Quarterly'!B227+'GEV Quarterly'!C140</f>
        <v>3977</v>
      </c>
      <c r="E81" s="41" t="n">
        <f aca="false">'GEV Quarterly'!D227-'GEV Quarterly'!C227+'GEV Quarterly'!D140</f>
        <v>2535</v>
      </c>
      <c r="F81" s="41" t="n">
        <f aca="false">'GEV Quarterly'!E227-'GEV Quarterly'!D227+'GEV Quarterly'!E140</f>
        <v>2948</v>
      </c>
      <c r="G81" s="41" t="n">
        <f aca="false">'GEV Quarterly'!F227-'GEV Quarterly'!E227+'GEV Quarterly'!F140</f>
        <v>3382</v>
      </c>
      <c r="H81" s="41" t="n">
        <f aca="false">'GEV Quarterly'!G227-'GEV Quarterly'!F227+'GEV Quarterly'!G140</f>
        <v>3627</v>
      </c>
      <c r="I81" s="41" t="n">
        <f aca="false">'GEV Quarterly'!H227-'GEV Quarterly'!G227+'GEV Quarterly'!H140</f>
        <v>4540</v>
      </c>
      <c r="J81" s="41" t="n">
        <f aca="false">'GEV Quarterly'!I227-'GEV Quarterly'!H227+'GEV Quarterly'!I140</f>
        <v>6332</v>
      </c>
      <c r="K81" s="41" t="n">
        <f aca="false">'GEV Quarterly'!J240-'GEV Quarterly'!I240+'GEV Quarterly'!J191</f>
        <v>10591</v>
      </c>
      <c r="L81" s="41" t="n">
        <f aca="false">'GEV Quarterly'!K240-'GEV Quarterly'!J240+'GEV Quarterly'!K191</f>
        <v>5121</v>
      </c>
      <c r="M81" s="37"/>
    </row>
    <row r="82" customFormat="false" ht="15" hidden="false" customHeight="false" outlineLevel="0" collapsed="false">
      <c r="B82" s="40" t="s">
        <v>385</v>
      </c>
      <c r="C82" s="41" t="n">
        <f aca="false">'GEV Quarterly'!B140</f>
        <v>1230</v>
      </c>
      <c r="D82" s="41" t="n">
        <f aca="false">'GEV Quarterly'!C140</f>
        <v>1286</v>
      </c>
      <c r="E82" s="41" t="n">
        <f aca="false">'GEV Quarterly'!D140</f>
        <v>1451</v>
      </c>
      <c r="F82" s="41" t="n">
        <f aca="false">'GEV Quarterly'!E140</f>
        <v>1567</v>
      </c>
      <c r="G82" s="41" t="n">
        <f aca="false">'GEV Quarterly'!F140</f>
        <v>1391</v>
      </c>
      <c r="H82" s="41" t="n">
        <f aca="false">'GEV Quarterly'!G140</f>
        <v>1673</v>
      </c>
      <c r="I82" s="41" t="n">
        <f aca="false">'GEV Quarterly'!H140</f>
        <v>2035</v>
      </c>
      <c r="J82" s="41" t="n">
        <f aca="false">'GEV Quarterly'!I140</f>
        <v>2279</v>
      </c>
      <c r="K82" s="41" t="n">
        <f aca="false">'GEV Quarterly'!J191</f>
        <v>2501</v>
      </c>
      <c r="L82" s="41" t="n">
        <f aca="false">'GEV Quarterly'!K191</f>
        <v>3130</v>
      </c>
      <c r="M82" s="37"/>
    </row>
    <row r="83" customFormat="false" ht="15" hidden="false" customHeight="false" outlineLevel="0" collapsed="false">
      <c r="B83" s="40" t="s">
        <v>386</v>
      </c>
      <c r="D83" s="47" t="n">
        <f aca="false">IF((D79+D80)&lt;&gt;0,D82/(D79+D80),"")</f>
        <v>0.0866051585965385</v>
      </c>
      <c r="E83" s="47" t="n">
        <f aca="false">IF((E79+E80)&lt;&gt;0,E82/(E79+E80),"")</f>
        <v>0.0827251995438997</v>
      </c>
      <c r="F83" s="47" t="n">
        <f aca="false">IF((F79+F80)&lt;&gt;0,F82/(F79+F80),"")</f>
        <v>0.0841387457044674</v>
      </c>
      <c r="G83" s="47" t="n">
        <f aca="false">IF((G79+G80)&lt;&gt;0,G82/(G79+G80),"")</f>
        <v>0.0695326168457886</v>
      </c>
      <c r="H83" s="47" t="n">
        <f aca="false">IF((H79+H80)&lt;&gt;0,H82/(H79+H80),"")</f>
        <v>0.076059283506092</v>
      </c>
      <c r="I83" s="47" t="n">
        <f aca="false">IF((I79+I80)&lt;&gt;0,I82/(I79+I80),"")</f>
        <v>0.0849686847599165</v>
      </c>
      <c r="J83" s="47" t="n">
        <f aca="false">IF((J79+J80)&lt;&gt;0,J82/(J79+J80),"")</f>
        <v>0.0861462861462862</v>
      </c>
      <c r="K83" s="47" t="n">
        <f aca="false">IF((K79+K80)&lt;&gt;0,K82/(K79+K80),"")</f>
        <v>0.0819784974432936</v>
      </c>
      <c r="L83" s="47" t="n">
        <f aca="false">IF((L79+L80)&lt;&gt;0,L82/(L79+L80),"")</f>
        <v>0.0810922845743303</v>
      </c>
      <c r="M83" s="37"/>
    </row>
    <row r="84" customFormat="false" ht="15" hidden="false" customHeight="false" outlineLevel="0" collapsed="false">
      <c r="B84" s="42" t="s">
        <v>387</v>
      </c>
      <c r="C84" s="43" t="n">
        <f aca="false">'GEV Quarterly'!B227</f>
        <v>14849</v>
      </c>
      <c r="D84" s="43" t="n">
        <f aca="false">D79+D80+D81-D82</f>
        <v>17540</v>
      </c>
      <c r="E84" s="43" t="n">
        <f aca="false">E79+E80+E81-E82</f>
        <v>18624</v>
      </c>
      <c r="F84" s="43" t="n">
        <f aca="false">F79+F80+F81-F82</f>
        <v>20005</v>
      </c>
      <c r="G84" s="43" t="n">
        <f aca="false">G79+G80+G81-G82</f>
        <v>21996</v>
      </c>
      <c r="H84" s="43" t="n">
        <f aca="false">H79+H80+H81-H82</f>
        <v>23950</v>
      </c>
      <c r="I84" s="43" t="n">
        <f aca="false">I79+I80+I81-I82</f>
        <v>26455</v>
      </c>
      <c r="J84" s="43" t="n">
        <f aca="false">J79+J80+J81-J82</f>
        <v>30508</v>
      </c>
      <c r="K84" s="43" t="n">
        <f aca="false">K79+K80+K81-K82</f>
        <v>38598</v>
      </c>
      <c r="L84" s="43" t="n">
        <f aca="false">L79+L80+L81-L82</f>
        <v>40589</v>
      </c>
      <c r="M84" s="37"/>
    </row>
    <row r="85" customFormat="false" ht="15" hidden="false" customHeight="false" outlineLevel="0" collapsed="false">
      <c r="M85" s="37"/>
    </row>
    <row r="86" customFormat="false" ht="15" hidden="false" customHeight="false" outlineLevel="0" collapsed="false">
      <c r="B86" s="46" t="s">
        <v>389</v>
      </c>
      <c r="M86" s="37"/>
    </row>
    <row r="87" customFormat="false" ht="15" hidden="false" customHeight="false" outlineLevel="0" collapsed="false">
      <c r="B87" s="40" t="s">
        <v>382</v>
      </c>
      <c r="D87" s="41" t="n">
        <f aca="false">C92</f>
        <v>3221</v>
      </c>
      <c r="E87" s="41" t="n">
        <f aca="false">D92</f>
        <v>3139</v>
      </c>
      <c r="F87" s="41" t="n">
        <f aca="false">E92</f>
        <v>3288</v>
      </c>
      <c r="G87" s="41" t="n">
        <f aca="false">F92</f>
        <v>3448</v>
      </c>
      <c r="H87" s="41" t="n">
        <f aca="false">G92</f>
        <v>3466</v>
      </c>
      <c r="I87" s="41" t="n">
        <f aca="false">H92</f>
        <v>3580</v>
      </c>
      <c r="J87" s="41" t="n">
        <f aca="false">I92</f>
        <v>3725</v>
      </c>
      <c r="K87" s="41" t="n">
        <f aca="false">J92</f>
        <v>4159</v>
      </c>
      <c r="L87" s="41" t="n">
        <f aca="false">K92</f>
        <v>3842</v>
      </c>
      <c r="M87" s="37"/>
    </row>
    <row r="88" customFormat="false" ht="15" hidden="false" customHeight="false" outlineLevel="0" collapsed="false">
      <c r="B88" s="40" t="s">
        <v>383</v>
      </c>
      <c r="K88" s="41" t="n">
        <f aca="false">'GEV Quarterly'!I241-'GEV Quarterly'!I228</f>
        <v>-425</v>
      </c>
      <c r="M88" s="37"/>
    </row>
    <row r="89" customFormat="false" ht="15" hidden="false" customHeight="false" outlineLevel="0" collapsed="false">
      <c r="B89" s="40" t="s">
        <v>384</v>
      </c>
      <c r="D89" s="41" t="n">
        <f aca="false">'GEV Quarterly'!C228-'GEV Quarterly'!B228+'GEV Quarterly'!C141</f>
        <v>422</v>
      </c>
      <c r="E89" s="41" t="n">
        <f aca="false">'GEV Quarterly'!D228-'GEV Quarterly'!C228+'GEV Quarterly'!D141</f>
        <v>626</v>
      </c>
      <c r="F89" s="41" t="n">
        <f aca="false">'GEV Quarterly'!E228-'GEV Quarterly'!D228+'GEV Quarterly'!E141</f>
        <v>773</v>
      </c>
      <c r="G89" s="41" t="n">
        <f aca="false">'GEV Quarterly'!F228-'GEV Quarterly'!E228+'GEV Quarterly'!F141</f>
        <v>505</v>
      </c>
      <c r="H89" s="41" t="n">
        <f aca="false">'GEV Quarterly'!G228-'GEV Quarterly'!F228+'GEV Quarterly'!G141</f>
        <v>642</v>
      </c>
      <c r="I89" s="41" t="n">
        <f aca="false">'GEV Quarterly'!H228-'GEV Quarterly'!G228+'GEV Quarterly'!H141</f>
        <v>711</v>
      </c>
      <c r="J89" s="41" t="n">
        <f aca="false">'GEV Quarterly'!I228-'GEV Quarterly'!H228+'GEV Quarterly'!I141</f>
        <v>1116</v>
      </c>
      <c r="K89" s="41" t="n">
        <f aca="false">'GEV Quarterly'!J241-'GEV Quarterly'!I241+'GEV Quarterly'!J192</f>
        <v>567</v>
      </c>
      <c r="L89" s="41" t="n">
        <f aca="false">'GEV Quarterly'!K241-'GEV Quarterly'!J241+'GEV Quarterly'!K192</f>
        <v>639</v>
      </c>
      <c r="M89" s="37"/>
    </row>
    <row r="90" customFormat="false" ht="15" hidden="false" customHeight="false" outlineLevel="0" collapsed="false">
      <c r="B90" s="40" t="s">
        <v>385</v>
      </c>
      <c r="C90" s="41" t="n">
        <f aca="false">'GEV Quarterly'!B141</f>
        <v>421</v>
      </c>
      <c r="D90" s="41" t="n">
        <f aca="false">'GEV Quarterly'!C141</f>
        <v>504</v>
      </c>
      <c r="E90" s="41" t="n">
        <f aca="false">'GEV Quarterly'!D141</f>
        <v>477</v>
      </c>
      <c r="F90" s="41" t="n">
        <f aca="false">'GEV Quarterly'!E141</f>
        <v>613</v>
      </c>
      <c r="G90" s="41" t="n">
        <f aca="false">'GEV Quarterly'!F141</f>
        <v>487</v>
      </c>
      <c r="H90" s="41" t="n">
        <f aca="false">'GEV Quarterly'!G141</f>
        <v>528</v>
      </c>
      <c r="I90" s="41" t="n">
        <f aca="false">'GEV Quarterly'!H141</f>
        <v>566</v>
      </c>
      <c r="J90" s="41" t="n">
        <f aca="false">'GEV Quarterly'!I141</f>
        <v>682</v>
      </c>
      <c r="K90" s="41" t="n">
        <f aca="false">'GEV Quarterly'!J192</f>
        <v>459</v>
      </c>
      <c r="L90" s="41" t="n">
        <f aca="false">'GEV Quarterly'!K192</f>
        <v>507</v>
      </c>
      <c r="M90" s="37"/>
    </row>
    <row r="91" customFormat="false" ht="15" hidden="false" customHeight="false" outlineLevel="0" collapsed="false">
      <c r="B91" s="40" t="s">
        <v>386</v>
      </c>
      <c r="D91" s="47" t="n">
        <f aca="false">IF((D87+D88)&lt;&gt;0,D90/(D87+D88),"")</f>
        <v>0.156473144986029</v>
      </c>
      <c r="E91" s="47" t="n">
        <f aca="false">IF((E87+E88)&lt;&gt;0,E90/(E87+E88),"")</f>
        <v>0.151959222682383</v>
      </c>
      <c r="F91" s="47" t="n">
        <f aca="false">IF((F87+F88)&lt;&gt;0,F90/(F87+F88),"")</f>
        <v>0.186435523114355</v>
      </c>
      <c r="G91" s="47" t="n">
        <f aca="false">IF((G87+G88)&lt;&gt;0,G90/(G87+G88),"")</f>
        <v>0.141241299303944</v>
      </c>
      <c r="H91" s="47" t="n">
        <f aca="false">IF((H87+H88)&lt;&gt;0,H90/(H87+H88),"")</f>
        <v>0.152336987882285</v>
      </c>
      <c r="I91" s="47" t="n">
        <f aca="false">IF((I87+I88)&lt;&gt;0,I90/(I87+I88),"")</f>
        <v>0.158100558659218</v>
      </c>
      <c r="J91" s="47" t="n">
        <f aca="false">IF((J87+J88)&lt;&gt;0,J90/(J87+J88),"")</f>
        <v>0.183087248322148</v>
      </c>
      <c r="K91" s="47" t="n">
        <f aca="false">IF((K87+K88)&lt;&gt;0,K90/(K87+K88),"")</f>
        <v>0.122924477771826</v>
      </c>
      <c r="L91" s="47" t="n">
        <f aca="false">IF((L87+L88)&lt;&gt;0,L90/(L87+L88),"")</f>
        <v>0.131962519521083</v>
      </c>
      <c r="M91" s="37"/>
    </row>
    <row r="92" customFormat="false" ht="15" hidden="false" customHeight="false" outlineLevel="0" collapsed="false">
      <c r="B92" s="42" t="s">
        <v>387</v>
      </c>
      <c r="C92" s="43" t="n">
        <f aca="false">'GEV Quarterly'!B228</f>
        <v>3221</v>
      </c>
      <c r="D92" s="43" t="n">
        <f aca="false">D87+D88+D89-D90</f>
        <v>3139</v>
      </c>
      <c r="E92" s="43" t="n">
        <f aca="false">E87+E88+E89-E90</f>
        <v>3288</v>
      </c>
      <c r="F92" s="43" t="n">
        <f aca="false">F87+F88+F89-F90</f>
        <v>3448</v>
      </c>
      <c r="G92" s="43" t="n">
        <f aca="false">G87+G88+G89-G90</f>
        <v>3466</v>
      </c>
      <c r="H92" s="43" t="n">
        <f aca="false">H87+H88+H89-H90</f>
        <v>3580</v>
      </c>
      <c r="I92" s="43" t="n">
        <f aca="false">I87+I88+I89-I90</f>
        <v>3725</v>
      </c>
      <c r="J92" s="43" t="n">
        <f aca="false">J87+J88+J89-J90</f>
        <v>4159</v>
      </c>
      <c r="K92" s="43" t="n">
        <f aca="false">K87+K88+K89-K90</f>
        <v>3842</v>
      </c>
      <c r="L92" s="43" t="n">
        <f aca="false">L87+L88+L89-L90</f>
        <v>3974</v>
      </c>
      <c r="M92" s="37"/>
    </row>
    <row r="93" customFormat="false" ht="15" hidden="false" customHeight="false" outlineLevel="0" collapsed="false">
      <c r="M93" s="37"/>
    </row>
    <row r="94" customFormat="false" ht="15" hidden="false" customHeight="false" outlineLevel="0" collapsed="false">
      <c r="B94" s="46" t="s">
        <v>390</v>
      </c>
      <c r="M94" s="37"/>
    </row>
    <row r="95" customFormat="false" ht="15" hidden="false" customHeight="false" outlineLevel="0" collapsed="false">
      <c r="B95" s="40" t="s">
        <v>391</v>
      </c>
      <c r="D95" s="52" t="n">
        <f aca="false">IF(D74&lt;&gt;0,D73/D74,"")</f>
        <v>2.45810055865922</v>
      </c>
      <c r="E95" s="52" t="n">
        <f aca="false">IF(E74&lt;&gt;0,E73/E74,"")</f>
        <v>1.63952282157676</v>
      </c>
      <c r="F95" s="52" t="n">
        <f aca="false">IF(F74&lt;&gt;0,F73/F74,"")</f>
        <v>1.70655662540119</v>
      </c>
      <c r="G95" s="52" t="n">
        <f aca="false">IF(G74&lt;&gt;0,G73/G74,"")</f>
        <v>2.0691857370942</v>
      </c>
      <c r="H95" s="52" t="n">
        <f aca="false">IF(H74&lt;&gt;0,H73/H74,"")</f>
        <v>1.93957292139936</v>
      </c>
      <c r="I95" s="52" t="n">
        <f aca="false">IF(I74&lt;&gt;0,I73/I74,"")</f>
        <v>2.01845444059977</v>
      </c>
      <c r="J95" s="52" t="n">
        <f aca="false">IF(J74&lt;&gt;0,J73/J74,"")</f>
        <v>2.51570415400203</v>
      </c>
      <c r="K95" s="52" t="n">
        <f aca="false">IF(K74&lt;&gt;0,K73/K74,"")</f>
        <v>3.77053058465698</v>
      </c>
      <c r="L95" s="52" t="n">
        <f aca="false">IF(L74&lt;&gt;0,L73/L74,"")</f>
        <v>1.58372284850151</v>
      </c>
      <c r="M95" s="37"/>
    </row>
    <row r="96" customFormat="false" ht="15" hidden="false" customHeight="false" outlineLevel="0" collapsed="false">
      <c r="B96" s="40" t="s">
        <v>392</v>
      </c>
      <c r="D96" s="52" t="n">
        <f aca="false">IF(D82&lt;&gt;0,D81/D82,"")</f>
        <v>3.09253499222395</v>
      </c>
      <c r="E96" s="52" t="n">
        <f aca="false">IF(E82&lt;&gt;0,E81/E82,"")</f>
        <v>1.74707098552722</v>
      </c>
      <c r="F96" s="52" t="n">
        <f aca="false">IF(F82&lt;&gt;0,F81/F82,"")</f>
        <v>1.88130185067007</v>
      </c>
      <c r="G96" s="52" t="n">
        <f aca="false">IF(G82&lt;&gt;0,G81/G82,"")</f>
        <v>2.431344356578</v>
      </c>
      <c r="H96" s="52" t="n">
        <f aca="false">IF(H82&lt;&gt;0,H81/H82,"")</f>
        <v>2.1679617453676</v>
      </c>
      <c r="I96" s="52" t="n">
        <f aca="false">IF(I82&lt;&gt;0,I81/I82,"")</f>
        <v>2.23095823095823</v>
      </c>
      <c r="J96" s="52" t="n">
        <f aca="false">IF(J82&lt;&gt;0,J81/J82,"")</f>
        <v>2.77841158402808</v>
      </c>
      <c r="K96" s="52" t="n">
        <f aca="false">IF(K82&lt;&gt;0,K81/K82,"")</f>
        <v>4.23470611755298</v>
      </c>
      <c r="L96" s="52" t="n">
        <f aca="false">IF(L82&lt;&gt;0,L81/L82,"")</f>
        <v>1.63610223642173</v>
      </c>
      <c r="M96" s="37"/>
    </row>
    <row r="97" customFormat="false" ht="15" hidden="false" customHeight="false" outlineLevel="0" collapsed="false">
      <c r="B97" s="40" t="s">
        <v>393</v>
      </c>
      <c r="G97" s="47" t="n">
        <f aca="false">IF(C76&lt;&gt;0,G76/C76-1,"")</f>
        <v>0.40915379932481</v>
      </c>
      <c r="H97" s="47" t="n">
        <f aca="false">IF(D76&lt;&gt;0,H76/D76-1,"")</f>
        <v>0.331302287344649</v>
      </c>
      <c r="I97" s="47" t="n">
        <f aca="false">IF(E76&lt;&gt;0,I76/E76-1,"")</f>
        <v>0.377281854691493</v>
      </c>
      <c r="J97" s="47" t="n">
        <f aca="false">IF(F76&lt;&gt;0,J76/F76-1,"")</f>
        <v>0.478147784931565</v>
      </c>
      <c r="K97" s="47" t="n">
        <f aca="false">K76/'GEV Quarterly'!F242-1</f>
        <v>0.695294399616522</v>
      </c>
      <c r="L97" s="47" t="n">
        <f aca="false">L76/'GEV Quarterly'!G242-1</f>
        <v>0.643299653366767</v>
      </c>
      <c r="M97" s="37"/>
    </row>
    <row r="98" customFormat="false" ht="15" hidden="false" customHeight="false" outlineLevel="0" collapsed="false">
      <c r="B98" s="40" t="s">
        <v>394</v>
      </c>
      <c r="C98" s="52" t="n">
        <f aca="false">IF(C74&lt;&gt;0,C76/(C74*4),"")</f>
        <v>2.73606904906118</v>
      </c>
      <c r="D98" s="52" t="n">
        <f aca="false">IF(D74&lt;&gt;0,D76/(D74*4),"")</f>
        <v>2.88812849162011</v>
      </c>
      <c r="E98" s="52" t="n">
        <f aca="false">IF(E74&lt;&gt;0,E76/(E74*4),"")</f>
        <v>2.84128630705394</v>
      </c>
      <c r="F98" s="52" t="n">
        <f aca="false">IF(F74&lt;&gt;0,F76/(F74*4),"")</f>
        <v>2.68833104080697</v>
      </c>
      <c r="G98" s="52" t="n">
        <f aca="false">IF(G74&lt;&gt;0,G76/(G74*4),"")</f>
        <v>3.38770622671634</v>
      </c>
      <c r="H98" s="52" t="n">
        <f aca="false">IF(H74&lt;&gt;0,H76/(H74*4),"")</f>
        <v>3.12698773284871</v>
      </c>
      <c r="I98" s="52" t="n">
        <f aca="false">IF(I74&lt;&gt;0,I76/(I74*4),"")</f>
        <v>2.90071126489812</v>
      </c>
      <c r="J98" s="52" t="n">
        <f aca="false">IF(J74&lt;&gt;0,J76/(J74*4),"")</f>
        <v>2.92696724079703</v>
      </c>
      <c r="K98" s="52" t="n">
        <f aca="false">IF(K74&lt;&gt;0,K76/(K74*4),"")</f>
        <v>3.58567083474147</v>
      </c>
      <c r="L98" s="52" t="n">
        <f aca="false">IF(L74&lt;&gt;0,L76/(L74*4),"")</f>
        <v>3.06317019521584</v>
      </c>
      <c r="M98" s="37"/>
    </row>
    <row r="99" customFormat="false" ht="15" hidden="false" customHeight="false" outlineLevel="0" collapsed="false">
      <c r="B99" s="40" t="s">
        <v>137</v>
      </c>
      <c r="C99" s="47" t="n">
        <f aca="false">IF((C82+C90)&lt;&gt;0,C90/(C82+C90),"")</f>
        <v>0.254996971532405</v>
      </c>
      <c r="D99" s="47" t="n">
        <f aca="false">IF((D82+D90)&lt;&gt;0,D90/(D82+D90),"")</f>
        <v>0.281564245810056</v>
      </c>
      <c r="E99" s="47" t="n">
        <f aca="false">IF((E82+E90)&lt;&gt;0,E90/(E82+E90),"")</f>
        <v>0.247406639004149</v>
      </c>
      <c r="F99" s="47" t="n">
        <f aca="false">IF((F82+F90)&lt;&gt;0,F90/(F82+F90),"")</f>
        <v>0.281192660550459</v>
      </c>
      <c r="G99" s="47" t="n">
        <f aca="false">IF((G82+G90)&lt;&gt;0,G90/(G82+G90),"")</f>
        <v>0.259318423855165</v>
      </c>
      <c r="H99" s="47" t="n">
        <f aca="false">IF((H82+H90)&lt;&gt;0,H90/(H82+H90),"")</f>
        <v>0.239890958655157</v>
      </c>
      <c r="I99" s="47" t="n">
        <f aca="false">IF((I82+I90)&lt;&gt;0,I90/(I82+I90),"")</f>
        <v>0.21760861207228</v>
      </c>
      <c r="J99" s="47" t="n">
        <f aca="false">IF((J82+J90)&lt;&gt;0,J90/(J82+J90),"")</f>
        <v>0.23032759202972</v>
      </c>
      <c r="K99" s="47" t="n">
        <f aca="false">IF((K82+K90)&lt;&gt;0,K90/(K82+K90),"")</f>
        <v>0.155067567567568</v>
      </c>
      <c r="L99" s="47" t="n">
        <f aca="false">IF((L82+L90)&lt;&gt;0,L90/(L82+L90),"")</f>
        <v>0.139400604894144</v>
      </c>
      <c r="M99" s="37"/>
    </row>
    <row r="100" customFormat="false" ht="15" hidden="false" customHeight="false" outlineLevel="0" collapsed="false">
      <c r="M100" s="37"/>
    </row>
    <row r="101" customFormat="false" ht="15" hidden="false" customHeight="false" outlineLevel="0" collapsed="false">
      <c r="B101" s="46" t="s">
        <v>395</v>
      </c>
      <c r="M101" s="37"/>
    </row>
    <row r="102" customFormat="false" ht="15" hidden="false" customHeight="false" outlineLevel="0" collapsed="false">
      <c r="B102" s="44" t="s">
        <v>396</v>
      </c>
      <c r="C102" s="45" t="n">
        <f aca="false">ABS(C76-'GEV Quarterly'!B229)+ABS(C84-'GEV Quarterly'!B227)+ABS(C92-'GEV Quarterly'!B228)</f>
        <v>0</v>
      </c>
      <c r="D102" s="45" t="n">
        <f aca="false">ABS(D76-'GEV Quarterly'!C229)+ABS(D84-'GEV Quarterly'!C227)+ABS(D92-'GEV Quarterly'!C228)</f>
        <v>0</v>
      </c>
      <c r="E102" s="45" t="n">
        <f aca="false">ABS(E76-'GEV Quarterly'!D229)+ABS(E84-'GEV Quarterly'!D227)+ABS(E92-'GEV Quarterly'!D228)</f>
        <v>0</v>
      </c>
      <c r="F102" s="45" t="n">
        <f aca="false">ABS(F76-'GEV Quarterly'!E229)+ABS(F84-'GEV Quarterly'!E227)+ABS(F92-'GEV Quarterly'!E228)</f>
        <v>0</v>
      </c>
      <c r="G102" s="45" t="n">
        <f aca="false">ABS(G76-'GEV Quarterly'!F229)+ABS(G84-'GEV Quarterly'!F227)+ABS(G92-'GEV Quarterly'!F228)</f>
        <v>0</v>
      </c>
      <c r="H102" s="45" t="n">
        <f aca="false">ABS(H76-'GEV Quarterly'!G229)+ABS(H84-'GEV Quarterly'!G227)+ABS(H92-'GEV Quarterly'!G228)</f>
        <v>0</v>
      </c>
      <c r="I102" s="45" t="n">
        <f aca="false">ABS(I76-'GEV Quarterly'!H229)+ABS(I84-'GEV Quarterly'!H227)+ABS(I92-'GEV Quarterly'!H228)</f>
        <v>0</v>
      </c>
      <c r="J102" s="45" t="n">
        <f aca="false">ABS(J76-'GEV Quarterly'!I229)+ABS(J84-'GEV Quarterly'!I227)+ABS(J92-'GEV Quarterly'!I228)</f>
        <v>0</v>
      </c>
      <c r="K102" s="45" t="n">
        <f aca="false">ABS(K76-'GEV Quarterly'!J242)+ABS(K84-'GEV Quarterly'!J240)+ABS(K92-'GEV Quarterly'!J241)</f>
        <v>0</v>
      </c>
      <c r="L102" s="45" t="n">
        <f aca="false">ABS(L76-'GEV Quarterly'!K242)+ABS(L84-'GEV Quarterly'!K240)+ABS(L92-'GEV Quarterly'!K241)</f>
        <v>0</v>
      </c>
      <c r="M102" s="37"/>
    </row>
    <row r="103" customFormat="false" ht="15" hidden="false" customHeight="false" outlineLevel="0" collapsed="false">
      <c r="B103" s="44" t="s">
        <v>397</v>
      </c>
      <c r="C103" s="45" t="n">
        <f aca="false">C84+C92-C76</f>
        <v>1</v>
      </c>
      <c r="D103" s="45" t="n">
        <f aca="false">D84+D92-D76</f>
        <v>0</v>
      </c>
      <c r="E103" s="45" t="n">
        <f aca="false">E84+E92-E76</f>
        <v>0</v>
      </c>
      <c r="F103" s="45" t="n">
        <f aca="false">F84+F92-F76</f>
        <v>0</v>
      </c>
      <c r="G103" s="45" t="n">
        <f aca="false">G84+G92-G76</f>
        <v>0</v>
      </c>
      <c r="H103" s="45" t="n">
        <f aca="false">H84+H92-H76</f>
        <v>0</v>
      </c>
      <c r="I103" s="45" t="n">
        <f aca="false">I84+I92-I76</f>
        <v>1</v>
      </c>
      <c r="J103" s="45" t="n">
        <f aca="false">J84+J92-J76</f>
        <v>0</v>
      </c>
      <c r="K103" s="45" t="n">
        <f aca="false">K84+K92-K76</f>
        <v>0</v>
      </c>
      <c r="L103" s="45" t="n">
        <f aca="false">L84+L92-L76</f>
        <v>0</v>
      </c>
      <c r="M103" s="37"/>
    </row>
    <row r="104" customFormat="false" ht="15" hidden="false" customHeight="false" outlineLevel="0" collapsed="false">
      <c r="B104" s="44" t="s">
        <v>398</v>
      </c>
      <c r="C104" s="45" t="n">
        <f aca="false">C82+C90-C74</f>
        <v>0</v>
      </c>
      <c r="D104" s="45" t="n">
        <f aca="false">D82+D90-D74</f>
        <v>0</v>
      </c>
      <c r="E104" s="45" t="n">
        <f aca="false">E82+E90-E74</f>
        <v>0</v>
      </c>
      <c r="F104" s="45" t="n">
        <f aca="false">F82+F90-F74</f>
        <v>-1</v>
      </c>
      <c r="G104" s="45" t="n">
        <f aca="false">G82+G90-G74</f>
        <v>-1</v>
      </c>
      <c r="H104" s="45" t="n">
        <f aca="false">H82+H90-H74</f>
        <v>0</v>
      </c>
      <c r="I104" s="45" t="n">
        <f aca="false">I82+I90-I74</f>
        <v>0</v>
      </c>
      <c r="J104" s="45" t="n">
        <f aca="false">J82+J90-J74</f>
        <v>0</v>
      </c>
      <c r="K104" s="45" t="n">
        <f aca="false">K82+K90-K74</f>
        <v>1</v>
      </c>
      <c r="L104" s="45" t="n">
        <f aca="false">L82+L90-L74</f>
        <v>0</v>
      </c>
      <c r="M104" s="37"/>
    </row>
    <row r="105" customFormat="false" ht="15" hidden="false" customHeight="false" outlineLevel="0" collapsed="false">
      <c r="M105" s="37"/>
    </row>
    <row r="106" customFormat="false" ht="15" hidden="false" customHeight="false" outlineLevel="0" collapsed="false">
      <c r="M106" s="37"/>
    </row>
    <row r="107" customFormat="false" ht="15" hidden="false" customHeight="false" outlineLevel="0" collapsed="false">
      <c r="B107" s="48" t="s">
        <v>111</v>
      </c>
      <c r="M107" s="37"/>
    </row>
    <row r="108" customFormat="false" ht="15" hidden="false" customHeight="false" outlineLevel="0" collapsed="false">
      <c r="B108" s="40" t="s">
        <v>382</v>
      </c>
      <c r="D108" s="41" t="n">
        <f aca="false">C113</f>
        <v>72783</v>
      </c>
      <c r="E108" s="41" t="n">
        <f aca="false">D113</f>
        <v>69457</v>
      </c>
      <c r="F108" s="41" t="n">
        <f aca="false">E113</f>
        <v>71303</v>
      </c>
      <c r="G108" s="41" t="n">
        <f aca="false">F113</f>
        <v>73351</v>
      </c>
      <c r="H108" s="41" t="n">
        <f aca="false">G113</f>
        <v>76292</v>
      </c>
      <c r="I108" s="41" t="n">
        <f aca="false">H113</f>
        <v>79065</v>
      </c>
      <c r="J108" s="41" t="n">
        <f aca="false">I113</f>
        <v>84060</v>
      </c>
      <c r="K108" s="41" t="n">
        <f aca="false">J113</f>
        <v>94387</v>
      </c>
      <c r="L108" s="41" t="n">
        <f aca="false">K113</f>
        <v>99694</v>
      </c>
      <c r="M108" s="37"/>
    </row>
    <row r="109" customFormat="false" ht="15" hidden="false" customHeight="false" outlineLevel="0" collapsed="false">
      <c r="B109" s="40" t="s">
        <v>383</v>
      </c>
      <c r="K109" s="41" t="n">
        <f aca="false">'GEV Quarterly'!I238-'GEV Quarterly'!I225</f>
        <v>161</v>
      </c>
      <c r="M109" s="37"/>
    </row>
    <row r="110" customFormat="false" ht="15" hidden="false" customHeight="false" outlineLevel="0" collapsed="false">
      <c r="B110" s="40" t="s">
        <v>384</v>
      </c>
      <c r="D110" s="41" t="n">
        <f aca="false">'GEV Quarterly'!C226</f>
        <v>1129</v>
      </c>
      <c r="E110" s="41" t="n">
        <f aca="false">'GEV Quarterly'!D226</f>
        <v>6052</v>
      </c>
      <c r="F110" s="41" t="n">
        <f aca="false">'GEV Quarterly'!E226</f>
        <v>7479</v>
      </c>
      <c r="G110" s="41" t="n">
        <f aca="false">'GEV Quarterly'!F226</f>
        <v>7364</v>
      </c>
      <c r="H110" s="41" t="n">
        <f aca="false">'GEV Quarterly'!G226</f>
        <v>7531</v>
      </c>
      <c r="I110" s="41" t="n">
        <f aca="false">'GEV Quarterly'!H226</f>
        <v>9833</v>
      </c>
      <c r="J110" s="41" t="n">
        <f aca="false">'GEV Quarterly'!I226</f>
        <v>16075</v>
      </c>
      <c r="K110" s="41" t="n">
        <f aca="false">'GEV Quarterly'!J239</f>
        <v>10117</v>
      </c>
      <c r="L110" s="41" t="n">
        <f aca="false">'GEV Quarterly'!K239</f>
        <v>17432</v>
      </c>
      <c r="M110" s="37"/>
    </row>
    <row r="111" customFormat="false" ht="15" hidden="false" customHeight="false" outlineLevel="0" collapsed="false">
      <c r="B111" s="40" t="s">
        <v>385</v>
      </c>
      <c r="C111" s="41" t="n">
        <f aca="false">'GEV Quarterly'!B109</f>
        <v>4035</v>
      </c>
      <c r="D111" s="41" t="n">
        <f aca="false">'GEV Quarterly'!C109</f>
        <v>4455</v>
      </c>
      <c r="E111" s="41" t="n">
        <f aca="false">'GEV Quarterly'!D109</f>
        <v>4206</v>
      </c>
      <c r="F111" s="41" t="n">
        <f aca="false">'GEV Quarterly'!E109</f>
        <v>5431</v>
      </c>
      <c r="G111" s="41" t="n">
        <f aca="false">'GEV Quarterly'!F109</f>
        <v>4423</v>
      </c>
      <c r="H111" s="41" t="n">
        <f aca="false">'GEV Quarterly'!G109</f>
        <v>4758</v>
      </c>
      <c r="I111" s="41" t="n">
        <f aca="false">'GEV Quarterly'!H109</f>
        <v>4838</v>
      </c>
      <c r="J111" s="41" t="n">
        <f aca="false">'GEV Quarterly'!I109</f>
        <v>5748</v>
      </c>
      <c r="K111" s="41" t="n">
        <f aca="false">'GEV Quarterly'!J161</f>
        <v>4971</v>
      </c>
      <c r="L111" s="41" t="n">
        <f aca="false">'GEV Quarterly'!K161</f>
        <v>5477</v>
      </c>
      <c r="M111" s="37"/>
    </row>
    <row r="112" customFormat="false" ht="15" hidden="false" customHeight="false" outlineLevel="0" collapsed="false">
      <c r="B112" s="40" t="s">
        <v>386</v>
      </c>
      <c r="D112" s="47" t="n">
        <f aca="false">IF((D108+D109)&lt;&gt;0,D111/(D108+D109),"")</f>
        <v>0.0612093483368369</v>
      </c>
      <c r="E112" s="47" t="n">
        <f aca="false">IF((E108+E109)&lt;&gt;0,E111/(E108+E109),"")</f>
        <v>0.0605554515743554</v>
      </c>
      <c r="F112" s="47" t="n">
        <f aca="false">IF((F108+F109)&lt;&gt;0,F111/(F108+F109),"")</f>
        <v>0.0761679031737795</v>
      </c>
      <c r="G112" s="47" t="n">
        <f aca="false">IF((G108+G109)&lt;&gt;0,G111/(G108+G109),"")</f>
        <v>0.0602991097599215</v>
      </c>
      <c r="H112" s="47" t="n">
        <f aca="false">IF((H108+H109)&lt;&gt;0,H111/(H108+H109),"")</f>
        <v>0.0623656477743407</v>
      </c>
      <c r="I112" s="47" t="n">
        <f aca="false">IF((I108+I109)&lt;&gt;0,I111/(I108+I109),"")</f>
        <v>0.0611901599949409</v>
      </c>
      <c r="J112" s="47" t="n">
        <f aca="false">IF((J108+J109)&lt;&gt;0,J111/(J108+J109),"")</f>
        <v>0.0683797287651677</v>
      </c>
      <c r="K112" s="47" t="n">
        <f aca="false">IF((K108+K109)&lt;&gt;0,K111/(K108+K109),"")</f>
        <v>0.0525764690950628</v>
      </c>
      <c r="L112" s="47" t="n">
        <f aca="false">IF((L108+L109)&lt;&gt;0,L111/(L108+L109),"")</f>
        <v>0.0549381106184926</v>
      </c>
      <c r="M112" s="37"/>
    </row>
    <row r="113" customFormat="false" ht="15" hidden="false" customHeight="false" outlineLevel="0" collapsed="false">
      <c r="B113" s="42" t="s">
        <v>387</v>
      </c>
      <c r="C113" s="43" t="n">
        <f aca="false">'GEV Quarterly'!B225</f>
        <v>72783</v>
      </c>
      <c r="D113" s="43" t="n">
        <f aca="false">D108+D109+D110-D111</f>
        <v>69457</v>
      </c>
      <c r="E113" s="43" t="n">
        <f aca="false">E108+E109+E110-E111</f>
        <v>71303</v>
      </c>
      <c r="F113" s="43" t="n">
        <f aca="false">F108+F109+F110-F111</f>
        <v>73351</v>
      </c>
      <c r="G113" s="43" t="n">
        <f aca="false">G108+G109+G110-G111</f>
        <v>76292</v>
      </c>
      <c r="H113" s="43" t="n">
        <f aca="false">H108+H109+H110-H111</f>
        <v>79065</v>
      </c>
      <c r="I113" s="43" t="n">
        <f aca="false">I108+I109+I110-I111</f>
        <v>84060</v>
      </c>
      <c r="J113" s="43" t="n">
        <f aca="false">J108+J109+J110-J111</f>
        <v>94387</v>
      </c>
      <c r="K113" s="43" t="n">
        <f aca="false">K108+K109+K110-K111</f>
        <v>99694</v>
      </c>
      <c r="L113" s="43" t="n">
        <f aca="false">L108+L109+L110-L111</f>
        <v>111649</v>
      </c>
      <c r="M113" s="37"/>
    </row>
    <row r="114" customFormat="false" ht="15" hidden="false" customHeight="false" outlineLevel="0" collapsed="false">
      <c r="M114" s="37"/>
    </row>
    <row r="115" customFormat="false" ht="15" hidden="false" customHeight="false" outlineLevel="0" collapsed="false">
      <c r="B115" s="46" t="s">
        <v>388</v>
      </c>
      <c r="M115" s="37"/>
    </row>
    <row r="116" customFormat="false" ht="15" hidden="false" customHeight="false" outlineLevel="0" collapsed="false">
      <c r="B116" s="40" t="s">
        <v>382</v>
      </c>
      <c r="D116" s="41" t="n">
        <f aca="false">C121</f>
        <v>14394</v>
      </c>
      <c r="E116" s="41" t="n">
        <f aca="false">D121</f>
        <v>10978</v>
      </c>
      <c r="F116" s="41" t="n">
        <f aca="false">E121</f>
        <v>11392</v>
      </c>
      <c r="G116" s="41" t="n">
        <f aca="false">F121</f>
        <v>12461</v>
      </c>
      <c r="H116" s="41" t="n">
        <f aca="false">G121</f>
        <v>13920</v>
      </c>
      <c r="I116" s="41" t="n">
        <f aca="false">H121</f>
        <v>16133</v>
      </c>
      <c r="J116" s="41" t="n">
        <f aca="false">I121</f>
        <v>18977</v>
      </c>
      <c r="K116" s="41" t="n">
        <f aca="false">J121</f>
        <v>24707</v>
      </c>
      <c r="L116" s="41" t="n">
        <f aca="false">K121</f>
        <v>28530</v>
      </c>
      <c r="M116" s="37"/>
    </row>
    <row r="117" customFormat="false" ht="15" hidden="false" customHeight="false" outlineLevel="0" collapsed="false">
      <c r="B117" s="40" t="s">
        <v>383</v>
      </c>
      <c r="K117" s="41" t="n">
        <f aca="false">'GEV Quarterly'!I236-'GEV Quarterly'!I223</f>
        <v>0</v>
      </c>
      <c r="M117" s="37"/>
    </row>
    <row r="118" customFormat="false" ht="15" hidden="false" customHeight="false" outlineLevel="0" collapsed="false">
      <c r="B118" s="40" t="s">
        <v>384</v>
      </c>
      <c r="D118" s="41" t="n">
        <f aca="false">'GEV Quarterly'!C223-'GEV Quarterly'!B223+'GEV Quarterly'!C130</f>
        <v>-2131</v>
      </c>
      <c r="E118" s="41" t="n">
        <f aca="false">'GEV Quarterly'!D223-'GEV Quarterly'!C223+'GEV Quarterly'!D130</f>
        <v>1840</v>
      </c>
      <c r="F118" s="41" t="n">
        <f aca="false">'GEV Quarterly'!E223-'GEV Quarterly'!D223+'GEV Quarterly'!E130</f>
        <v>2865</v>
      </c>
      <c r="G118" s="41" t="n">
        <f aca="false">'GEV Quarterly'!F223-'GEV Quarterly'!E223+'GEV Quarterly'!F130</f>
        <v>2950</v>
      </c>
      <c r="H118" s="41" t="n">
        <f aca="false">'GEV Quarterly'!G223-'GEV Quarterly'!F223+'GEV Quarterly'!G130</f>
        <v>3717</v>
      </c>
      <c r="I118" s="41" t="n">
        <f aca="false">'GEV Quarterly'!H223-'GEV Quarterly'!G223+'GEV Quarterly'!H130</f>
        <v>4588</v>
      </c>
      <c r="J118" s="41" t="n">
        <f aca="false">'GEV Quarterly'!I223-'GEV Quarterly'!H223+'GEV Quarterly'!I130</f>
        <v>7677</v>
      </c>
      <c r="K118" s="41" t="n">
        <f aca="false">'GEV Quarterly'!J236-'GEV Quarterly'!I236+'GEV Quarterly'!J182</f>
        <v>5708</v>
      </c>
      <c r="L118" s="41" t="n">
        <f aca="false">'GEV Quarterly'!K236-'GEV Quarterly'!J236+'GEV Quarterly'!K182</f>
        <v>12696</v>
      </c>
      <c r="M118" s="37"/>
    </row>
    <row r="119" customFormat="false" ht="15" hidden="false" customHeight="false" outlineLevel="0" collapsed="false">
      <c r="B119" s="40" t="s">
        <v>385</v>
      </c>
      <c r="C119" s="41" t="n">
        <f aca="false">'GEV Quarterly'!B130</f>
        <v>1201</v>
      </c>
      <c r="D119" s="41" t="n">
        <f aca="false">'GEV Quarterly'!C130</f>
        <v>1285</v>
      </c>
      <c r="E119" s="41" t="n">
        <f aca="false">'GEV Quarterly'!D130</f>
        <v>1426</v>
      </c>
      <c r="F119" s="41" t="n">
        <f aca="false">'GEV Quarterly'!E130</f>
        <v>1796</v>
      </c>
      <c r="G119" s="41" t="n">
        <f aca="false">'GEV Quarterly'!F130</f>
        <v>1491</v>
      </c>
      <c r="H119" s="41" t="n">
        <f aca="false">'GEV Quarterly'!G130</f>
        <v>1504</v>
      </c>
      <c r="I119" s="41" t="n">
        <f aca="false">'GEV Quarterly'!H130</f>
        <v>1744</v>
      </c>
      <c r="J119" s="41" t="n">
        <f aca="false">'GEV Quarterly'!I130</f>
        <v>1947</v>
      </c>
      <c r="K119" s="41" t="n">
        <f aca="false">'GEV Quarterly'!J182</f>
        <v>1885</v>
      </c>
      <c r="L119" s="41" t="n">
        <f aca="false">'GEV Quarterly'!K182</f>
        <v>1965</v>
      </c>
      <c r="M119" s="37"/>
    </row>
    <row r="120" customFormat="false" ht="15" hidden="false" customHeight="false" outlineLevel="0" collapsed="false">
      <c r="B120" s="40" t="s">
        <v>386</v>
      </c>
      <c r="D120" s="47" t="n">
        <f aca="false">IF((D116+D117)&lt;&gt;0,D119/(D116+D117),"")</f>
        <v>0.0892733083229123</v>
      </c>
      <c r="E120" s="47" t="n">
        <f aca="false">IF((E116+E117)&lt;&gt;0,E119/(E116+E117),"")</f>
        <v>0.12989615594826</v>
      </c>
      <c r="F120" s="47" t="n">
        <f aca="false">IF((F116+F117)&lt;&gt;0,F119/(F116+F117),"")</f>
        <v>0.157654494382022</v>
      </c>
      <c r="G120" s="47" t="n">
        <f aca="false">IF((G116+G117)&lt;&gt;0,G119/(G116+G117),"")</f>
        <v>0.119653318353262</v>
      </c>
      <c r="H120" s="47" t="n">
        <f aca="false">IF((H116+H117)&lt;&gt;0,H119/(H116+H117),"")</f>
        <v>0.108045977011494</v>
      </c>
      <c r="I120" s="47" t="n">
        <f aca="false">IF((I116+I117)&lt;&gt;0,I119/(I116+I117),"")</f>
        <v>0.108101407053865</v>
      </c>
      <c r="J120" s="47" t="n">
        <f aca="false">IF((J116+J117)&lt;&gt;0,J119/(J116+J117),"")</f>
        <v>0.102597881646203</v>
      </c>
      <c r="K120" s="47" t="n">
        <f aca="false">IF((K116+K117)&lt;&gt;0,K119/(K116+K117),"")</f>
        <v>0.076294167644797</v>
      </c>
      <c r="L120" s="47" t="n">
        <f aca="false">IF((L116+L117)&lt;&gt;0,L119/(L116+L117),"")</f>
        <v>0.0688748685594112</v>
      </c>
      <c r="M120" s="37"/>
    </row>
    <row r="121" customFormat="false" ht="15" hidden="false" customHeight="false" outlineLevel="0" collapsed="false">
      <c r="B121" s="42" t="s">
        <v>387</v>
      </c>
      <c r="C121" s="43" t="n">
        <f aca="false">'GEV Quarterly'!B223</f>
        <v>14394</v>
      </c>
      <c r="D121" s="43" t="n">
        <f aca="false">D116+D117+D118-D119</f>
        <v>10978</v>
      </c>
      <c r="E121" s="43" t="n">
        <f aca="false">E116+E117+E118-E119</f>
        <v>11392</v>
      </c>
      <c r="F121" s="43" t="n">
        <f aca="false">F116+F117+F118-F119</f>
        <v>12461</v>
      </c>
      <c r="G121" s="43" t="n">
        <f aca="false">G116+G117+G118-G119</f>
        <v>13920</v>
      </c>
      <c r="H121" s="43" t="n">
        <f aca="false">H116+H117+H118-H119</f>
        <v>16133</v>
      </c>
      <c r="I121" s="43" t="n">
        <f aca="false">I116+I117+I118-I119</f>
        <v>18977</v>
      </c>
      <c r="J121" s="43" t="n">
        <f aca="false">J116+J117+J118-J119</f>
        <v>24707</v>
      </c>
      <c r="K121" s="43" t="n">
        <f aca="false">K116+K117+K118-K119</f>
        <v>28530</v>
      </c>
      <c r="L121" s="43" t="n">
        <f aca="false">L116+L117+L118-L119</f>
        <v>39261</v>
      </c>
      <c r="M121" s="37"/>
    </row>
    <row r="122" customFormat="false" ht="15" hidden="false" customHeight="false" outlineLevel="0" collapsed="false">
      <c r="M122" s="37"/>
    </row>
    <row r="123" customFormat="false" ht="15" hidden="false" customHeight="false" outlineLevel="0" collapsed="false">
      <c r="B123" s="46" t="s">
        <v>389</v>
      </c>
      <c r="M123" s="37"/>
    </row>
    <row r="124" customFormat="false" ht="15" hidden="false" customHeight="false" outlineLevel="0" collapsed="false">
      <c r="B124" s="40" t="s">
        <v>382</v>
      </c>
      <c r="D124" s="41" t="n">
        <f aca="false">C129</f>
        <v>58389</v>
      </c>
      <c r="E124" s="41" t="n">
        <f aca="false">D129</f>
        <v>58479</v>
      </c>
      <c r="F124" s="41" t="n">
        <f aca="false">E129</f>
        <v>59911</v>
      </c>
      <c r="G124" s="41" t="n">
        <f aca="false">F129</f>
        <v>60890</v>
      </c>
      <c r="H124" s="41" t="n">
        <f aca="false">G129</f>
        <v>62372</v>
      </c>
      <c r="I124" s="41" t="n">
        <f aca="false">H129</f>
        <v>62932</v>
      </c>
      <c r="J124" s="41" t="n">
        <f aca="false">I129</f>
        <v>65083</v>
      </c>
      <c r="K124" s="41" t="n">
        <f aca="false">J129</f>
        <v>69680</v>
      </c>
      <c r="L124" s="41" t="n">
        <f aca="false">K129</f>
        <v>71164</v>
      </c>
      <c r="M124" s="37"/>
    </row>
    <row r="125" customFormat="false" ht="15" hidden="false" customHeight="false" outlineLevel="0" collapsed="false">
      <c r="B125" s="40" t="s">
        <v>383</v>
      </c>
      <c r="K125" s="41" t="n">
        <f aca="false">'GEV Quarterly'!I237-'GEV Quarterly'!I224</f>
        <v>161</v>
      </c>
      <c r="M125" s="37"/>
    </row>
    <row r="126" customFormat="false" ht="15" hidden="false" customHeight="false" outlineLevel="0" collapsed="false">
      <c r="B126" s="40" t="s">
        <v>384</v>
      </c>
      <c r="D126" s="41" t="n">
        <f aca="false">'GEV Quarterly'!C224-'GEV Quarterly'!B224+'GEV Quarterly'!C131</f>
        <v>3260</v>
      </c>
      <c r="E126" s="41" t="n">
        <f aca="false">'GEV Quarterly'!D224-'GEV Quarterly'!C224+'GEV Quarterly'!D131</f>
        <v>4213</v>
      </c>
      <c r="F126" s="41" t="n">
        <f aca="false">'GEV Quarterly'!E224-'GEV Quarterly'!D224+'GEV Quarterly'!E131</f>
        <v>4614</v>
      </c>
      <c r="G126" s="41" t="n">
        <f aca="false">'GEV Quarterly'!F224-'GEV Quarterly'!E224+'GEV Quarterly'!F131</f>
        <v>4413</v>
      </c>
      <c r="H126" s="41" t="n">
        <f aca="false">'GEV Quarterly'!G224-'GEV Quarterly'!F224+'GEV Quarterly'!G131</f>
        <v>3813</v>
      </c>
      <c r="I126" s="41" t="n">
        <f aca="false">'GEV Quarterly'!H224-'GEV Quarterly'!G224+'GEV Quarterly'!H131</f>
        <v>5245</v>
      </c>
      <c r="J126" s="41" t="n">
        <f aca="false">'GEV Quarterly'!I224-'GEV Quarterly'!H224+'GEV Quarterly'!I131</f>
        <v>8400</v>
      </c>
      <c r="K126" s="41" t="n">
        <f aca="false">'GEV Quarterly'!J237-'GEV Quarterly'!I237+'GEV Quarterly'!J183</f>
        <v>4409</v>
      </c>
      <c r="L126" s="41" t="n">
        <f aca="false">'GEV Quarterly'!K237-'GEV Quarterly'!J237+'GEV Quarterly'!K183</f>
        <v>4736</v>
      </c>
      <c r="M126" s="37"/>
    </row>
    <row r="127" customFormat="false" ht="15" hidden="false" customHeight="false" outlineLevel="0" collapsed="false">
      <c r="B127" s="40" t="s">
        <v>385</v>
      </c>
      <c r="C127" s="41" t="n">
        <f aca="false">'GEV Quarterly'!B131</f>
        <v>2833</v>
      </c>
      <c r="D127" s="41" t="n">
        <f aca="false">'GEV Quarterly'!C131</f>
        <v>3170</v>
      </c>
      <c r="E127" s="41" t="n">
        <f aca="false">'GEV Quarterly'!D131</f>
        <v>2781</v>
      </c>
      <c r="F127" s="41" t="n">
        <f aca="false">'GEV Quarterly'!E131</f>
        <v>3635</v>
      </c>
      <c r="G127" s="41" t="n">
        <f aca="false">'GEV Quarterly'!F131</f>
        <v>2931</v>
      </c>
      <c r="H127" s="41" t="n">
        <f aca="false">'GEV Quarterly'!G131</f>
        <v>3253</v>
      </c>
      <c r="I127" s="41" t="n">
        <f aca="false">'GEV Quarterly'!H131</f>
        <v>3094</v>
      </c>
      <c r="J127" s="41" t="n">
        <f aca="false">'GEV Quarterly'!I131</f>
        <v>3803</v>
      </c>
      <c r="K127" s="41" t="n">
        <f aca="false">'GEV Quarterly'!J183</f>
        <v>3086</v>
      </c>
      <c r="L127" s="41" t="n">
        <f aca="false">'GEV Quarterly'!K183</f>
        <v>3512</v>
      </c>
      <c r="M127" s="37"/>
    </row>
    <row r="128" customFormat="false" ht="15" hidden="false" customHeight="false" outlineLevel="0" collapsed="false">
      <c r="B128" s="40" t="s">
        <v>386</v>
      </c>
      <c r="D128" s="47" t="n">
        <f aca="false">IF((D124+D125)&lt;&gt;0,D127/(D124+D125),"")</f>
        <v>0.0542910479713645</v>
      </c>
      <c r="E128" s="47" t="n">
        <f aca="false">IF((E124+E125)&lt;&gt;0,E127/(E124+E125),"")</f>
        <v>0.0475555327553481</v>
      </c>
      <c r="F128" s="47" t="n">
        <f aca="false">IF((F124+F125)&lt;&gt;0,F127/(F124+F125),"")</f>
        <v>0.0606733321092955</v>
      </c>
      <c r="G128" s="47" t="n">
        <f aca="false">IF((G124+G125)&lt;&gt;0,G127/(G124+G125),"")</f>
        <v>0.0481359829200197</v>
      </c>
      <c r="H128" s="47" t="n">
        <f aca="false">IF((H124+H125)&lt;&gt;0,H127/(H124+H125),"")</f>
        <v>0.052154813057141</v>
      </c>
      <c r="I128" s="47" t="n">
        <f aca="false">IF((I124+I125)&lt;&gt;0,I127/(I124+I125),"")</f>
        <v>0.0491641772071442</v>
      </c>
      <c r="J128" s="47" t="n">
        <f aca="false">IF((J124+J125)&lt;&gt;0,J127/(J124+J125),"")</f>
        <v>0.0584330777622421</v>
      </c>
      <c r="K128" s="47" t="n">
        <f aca="false">IF((K124+K125)&lt;&gt;0,K127/(K124+K125),"")</f>
        <v>0.0441860798098538</v>
      </c>
      <c r="L128" s="47" t="n">
        <f aca="false">IF((L124+L125)&lt;&gt;0,L127/(L124+L125),"")</f>
        <v>0.0493507953459614</v>
      </c>
      <c r="M128" s="37"/>
    </row>
    <row r="129" customFormat="false" ht="15" hidden="false" customHeight="false" outlineLevel="0" collapsed="false">
      <c r="B129" s="42" t="s">
        <v>387</v>
      </c>
      <c r="C129" s="43" t="n">
        <f aca="false">'GEV Quarterly'!B224</f>
        <v>58389</v>
      </c>
      <c r="D129" s="43" t="n">
        <f aca="false">D124+D125+D126-D127</f>
        <v>58479</v>
      </c>
      <c r="E129" s="43" t="n">
        <f aca="false">E124+E125+E126-E127</f>
        <v>59911</v>
      </c>
      <c r="F129" s="43" t="n">
        <f aca="false">F124+F125+F126-F127</f>
        <v>60890</v>
      </c>
      <c r="G129" s="43" t="n">
        <f aca="false">G124+G125+G126-G127</f>
        <v>62372</v>
      </c>
      <c r="H129" s="43" t="n">
        <f aca="false">H124+H125+H126-H127</f>
        <v>62932</v>
      </c>
      <c r="I129" s="43" t="n">
        <f aca="false">I124+I125+I126-I127</f>
        <v>65083</v>
      </c>
      <c r="J129" s="43" t="n">
        <f aca="false">J124+J125+J126-J127</f>
        <v>69680</v>
      </c>
      <c r="K129" s="43" t="n">
        <f aca="false">K124+K125+K126-K127</f>
        <v>71164</v>
      </c>
      <c r="L129" s="43" t="n">
        <f aca="false">L124+L125+L126-L127</f>
        <v>72388</v>
      </c>
      <c r="M129" s="37"/>
    </row>
    <row r="130" customFormat="false" ht="15" hidden="false" customHeight="false" outlineLevel="0" collapsed="false">
      <c r="M130" s="37"/>
    </row>
    <row r="131" customFormat="false" ht="15" hidden="false" customHeight="false" outlineLevel="0" collapsed="false">
      <c r="B131" s="46" t="s">
        <v>390</v>
      </c>
      <c r="M131" s="37"/>
    </row>
    <row r="132" customFormat="false" ht="15" hidden="false" customHeight="false" outlineLevel="0" collapsed="false">
      <c r="B132" s="40" t="s">
        <v>391</v>
      </c>
      <c r="D132" s="52" t="n">
        <f aca="false">IF(D111&lt;&gt;0,D110/D111,"")</f>
        <v>0.253423120089787</v>
      </c>
      <c r="E132" s="52" t="n">
        <f aca="false">IF(E111&lt;&gt;0,E110/E111,"")</f>
        <v>1.43889681407513</v>
      </c>
      <c r="F132" s="52" t="n">
        <f aca="false">IF(F111&lt;&gt;0,F110/F111,"")</f>
        <v>1.37709445774259</v>
      </c>
      <c r="G132" s="52" t="n">
        <f aca="false">IF(G111&lt;&gt;0,G110/G111,"")</f>
        <v>1.66493330318788</v>
      </c>
      <c r="H132" s="52" t="n">
        <f aca="false">IF(H111&lt;&gt;0,H110/H111,"")</f>
        <v>1.58280790248003</v>
      </c>
      <c r="I132" s="52" t="n">
        <f aca="false">IF(I111&lt;&gt;0,I110/I111,"")</f>
        <v>2.03245142620918</v>
      </c>
      <c r="J132" s="52" t="n">
        <f aca="false">IF(J111&lt;&gt;0,J110/J111,"")</f>
        <v>2.79662491301322</v>
      </c>
      <c r="K132" s="52" t="n">
        <f aca="false">IF(K111&lt;&gt;0,K110/K111,"")</f>
        <v>2.03520418426876</v>
      </c>
      <c r="L132" s="52" t="n">
        <f aca="false">IF(L111&lt;&gt;0,L110/L111,"")</f>
        <v>3.18276428701844</v>
      </c>
      <c r="M132" s="37"/>
    </row>
    <row r="133" customFormat="false" ht="15" hidden="false" customHeight="false" outlineLevel="0" collapsed="false">
      <c r="B133" s="40" t="s">
        <v>392</v>
      </c>
      <c r="D133" s="52" t="n">
        <f aca="false">IF(D119&lt;&gt;0,D118/D119,"")</f>
        <v>-1.65836575875486</v>
      </c>
      <c r="E133" s="52" t="n">
        <f aca="false">IF(E119&lt;&gt;0,E118/E119,"")</f>
        <v>1.29032258064516</v>
      </c>
      <c r="F133" s="52" t="n">
        <f aca="false">IF(F119&lt;&gt;0,F118/F119,"")</f>
        <v>1.59521158129176</v>
      </c>
      <c r="G133" s="52" t="n">
        <f aca="false">IF(G119&lt;&gt;0,G118/G119,"")</f>
        <v>1.97853789403085</v>
      </c>
      <c r="H133" s="52" t="n">
        <f aca="false">IF(H119&lt;&gt;0,H118/H119,"")</f>
        <v>2.47140957446809</v>
      </c>
      <c r="I133" s="52" t="n">
        <f aca="false">IF(I119&lt;&gt;0,I118/I119,"")</f>
        <v>2.63073394495413</v>
      </c>
      <c r="J133" s="52" t="n">
        <f aca="false">IF(J119&lt;&gt;0,J118/J119,"")</f>
        <v>3.94298921417566</v>
      </c>
      <c r="K133" s="52" t="n">
        <f aca="false">IF(K119&lt;&gt;0,K118/K119,"")</f>
        <v>3.02811671087533</v>
      </c>
      <c r="L133" s="52" t="n">
        <f aca="false">IF(L119&lt;&gt;0,L118/L119,"")</f>
        <v>6.46106870229008</v>
      </c>
      <c r="M133" s="37"/>
    </row>
    <row r="134" customFormat="false" ht="15" hidden="false" customHeight="false" outlineLevel="0" collapsed="false">
      <c r="B134" s="40" t="s">
        <v>393</v>
      </c>
      <c r="G134" s="47" t="n">
        <f aca="false">IF(C113&lt;&gt;0,G113/C113-1,"")</f>
        <v>0.0482118077023481</v>
      </c>
      <c r="H134" s="47" t="n">
        <f aca="false">IF(D113&lt;&gt;0,H113/D113-1,"")</f>
        <v>0.138330189901666</v>
      </c>
      <c r="I134" s="47" t="n">
        <f aca="false">IF(E113&lt;&gt;0,I113/E113-1,"")</f>
        <v>0.178912528224619</v>
      </c>
      <c r="J134" s="47" t="n">
        <f aca="false">IF(F113&lt;&gt;0,J113/F113-1,"")</f>
        <v>0.286785456230999</v>
      </c>
      <c r="K134" s="47" t="n">
        <f aca="false">K113/'GEV Quarterly'!F238-1</f>
        <v>0.3039906870888</v>
      </c>
      <c r="L134" s="47" t="n">
        <f aca="false">L113/'GEV Quarterly'!G238-1</f>
        <v>0.409335908408124</v>
      </c>
      <c r="M134" s="37"/>
    </row>
    <row r="135" customFormat="false" ht="15" hidden="false" customHeight="false" outlineLevel="0" collapsed="false">
      <c r="B135" s="40" t="s">
        <v>394</v>
      </c>
      <c r="C135" s="52" t="n">
        <f aca="false">IF(C111&lt;&gt;0,C113/(C111*4),"")</f>
        <v>4.50947955390335</v>
      </c>
      <c r="D135" s="52" t="n">
        <f aca="false">IF(D111&lt;&gt;0,D113/(D111*4),"")</f>
        <v>3.89769921436588</v>
      </c>
      <c r="E135" s="52" t="n">
        <f aca="false">IF(E111&lt;&gt;0,E113/(E111*4),"")</f>
        <v>4.238171659534</v>
      </c>
      <c r="F135" s="52" t="n">
        <f aca="false">IF(F111&lt;&gt;0,F113/(F111*4),"")</f>
        <v>3.37649604124471</v>
      </c>
      <c r="G135" s="52" t="n">
        <f aca="false">IF(G111&lt;&gt;0,G113/(G111*4),"")</f>
        <v>4.31223151706986</v>
      </c>
      <c r="H135" s="52" t="n">
        <f aca="false">IF(H111&lt;&gt;0,H113/(H111*4),"")</f>
        <v>4.15431904161412</v>
      </c>
      <c r="I135" s="52" t="n">
        <f aca="false">IF(I111&lt;&gt;0,I113/(I111*4),"")</f>
        <v>4.34373708143861</v>
      </c>
      <c r="J135" s="52" t="n">
        <f aca="false">IF(J111&lt;&gt;0,J113/(J111*4),"")</f>
        <v>4.10521050800278</v>
      </c>
      <c r="K135" s="52" t="n">
        <f aca="false">IF(K111&lt;&gt;0,K113/(K111*4),"")</f>
        <v>5.01377992355663</v>
      </c>
      <c r="L135" s="52" t="n">
        <f aca="false">IF(L111&lt;&gt;0,L113/(L111*4),"")</f>
        <v>5.09626620412635</v>
      </c>
      <c r="M135" s="37"/>
    </row>
    <row r="136" customFormat="false" ht="15" hidden="false" customHeight="false" outlineLevel="0" collapsed="false">
      <c r="B136" s="40" t="s">
        <v>137</v>
      </c>
      <c r="C136" s="47" t="n">
        <f aca="false">IF((C119+C127)&lt;&gt;0,C127/(C119+C127),"")</f>
        <v>0.702280614774418</v>
      </c>
      <c r="D136" s="47" t="n">
        <f aca="false">IF((D119+D127)&lt;&gt;0,D127/(D119+D127),"")</f>
        <v>0.711560044893378</v>
      </c>
      <c r="E136" s="47" t="n">
        <f aca="false">IF((E119+E127)&lt;&gt;0,E127/(E119+E127),"")</f>
        <v>0.661041121939624</v>
      </c>
      <c r="F136" s="47" t="n">
        <f aca="false">IF((F119+F127)&lt;&gt;0,F127/(F119+F127),"")</f>
        <v>0.669305836862456</v>
      </c>
      <c r="G136" s="47" t="n">
        <f aca="false">IF((G119+G127)&lt;&gt;0,G127/(G119+G127),"")</f>
        <v>0.662822252374491</v>
      </c>
      <c r="H136" s="47" t="n">
        <f aca="false">IF((H119+H127)&lt;&gt;0,H127/(H119+H127),"")</f>
        <v>0.683834349379861</v>
      </c>
      <c r="I136" s="47" t="n">
        <f aca="false">IF((I119+I127)&lt;&gt;0,I127/(I119+I127),"")</f>
        <v>0.63952046300124</v>
      </c>
      <c r="J136" s="47" t="n">
        <f aca="false">IF((J119+J127)&lt;&gt;0,J127/(J119+J127),"")</f>
        <v>0.661391304347826</v>
      </c>
      <c r="K136" s="47" t="n">
        <f aca="false">IF((K119+K127)&lt;&gt;0,K127/(K119+K127),"")</f>
        <v>0.620800643733655</v>
      </c>
      <c r="L136" s="47" t="n">
        <f aca="false">IF((L119+L127)&lt;&gt;0,L127/(L119+L127),"")</f>
        <v>0.641226949059704</v>
      </c>
      <c r="M136" s="37"/>
    </row>
    <row r="137" customFormat="false" ht="15" hidden="false" customHeight="false" outlineLevel="0" collapsed="false">
      <c r="M137" s="37"/>
    </row>
    <row r="138" customFormat="false" ht="15" hidden="false" customHeight="false" outlineLevel="0" collapsed="false">
      <c r="B138" s="46" t="s">
        <v>395</v>
      </c>
      <c r="M138" s="37"/>
    </row>
    <row r="139" customFormat="false" ht="15" hidden="false" customHeight="false" outlineLevel="0" collapsed="false">
      <c r="B139" s="44" t="s">
        <v>396</v>
      </c>
      <c r="C139" s="45" t="n">
        <f aca="false">ABS(C113-'GEV Quarterly'!B225)+ABS(C121-'GEV Quarterly'!B223)+ABS(C129-'GEV Quarterly'!B224)</f>
        <v>0</v>
      </c>
      <c r="D139" s="45" t="n">
        <f aca="false">ABS(D113-'GEV Quarterly'!C225)+ABS(D121-'GEV Quarterly'!C223)+ABS(D129-'GEV Quarterly'!C224)</f>
        <v>0</v>
      </c>
      <c r="E139" s="45" t="n">
        <f aca="false">ABS(E113-'GEV Quarterly'!D225)+ABS(E121-'GEV Quarterly'!D223)+ABS(E129-'GEV Quarterly'!D224)</f>
        <v>0</v>
      </c>
      <c r="F139" s="45" t="n">
        <f aca="false">ABS(F113-'GEV Quarterly'!E225)+ABS(F121-'GEV Quarterly'!E223)+ABS(F129-'GEV Quarterly'!E224)</f>
        <v>0</v>
      </c>
      <c r="G139" s="45" t="n">
        <f aca="false">ABS(G113-'GEV Quarterly'!F225)+ABS(G121-'GEV Quarterly'!F223)+ABS(G129-'GEV Quarterly'!F224)</f>
        <v>0</v>
      </c>
      <c r="H139" s="45" t="n">
        <f aca="false">ABS(H113-'GEV Quarterly'!G225)+ABS(H121-'GEV Quarterly'!G223)+ABS(H129-'GEV Quarterly'!G224)</f>
        <v>0</v>
      </c>
      <c r="I139" s="45" t="n">
        <f aca="false">ABS(I113-'GEV Quarterly'!H225)+ABS(I121-'GEV Quarterly'!H223)+ABS(I129-'GEV Quarterly'!H224)</f>
        <v>0</v>
      </c>
      <c r="J139" s="45" t="n">
        <f aca="false">ABS(J113-'GEV Quarterly'!I225)+ABS(J121-'GEV Quarterly'!I223)+ABS(J129-'GEV Quarterly'!I224)</f>
        <v>0</v>
      </c>
      <c r="K139" s="45" t="n">
        <f aca="false">ABS(K113-'GEV Quarterly'!J238)+ABS(K121-'GEV Quarterly'!J236)+ABS(K129-'GEV Quarterly'!J237)</f>
        <v>0</v>
      </c>
      <c r="L139" s="45" t="n">
        <f aca="false">ABS(L113-'GEV Quarterly'!K238)+ABS(L121-'GEV Quarterly'!K236)+ABS(L129-'GEV Quarterly'!K237)</f>
        <v>0</v>
      </c>
      <c r="M139" s="37"/>
    </row>
    <row r="140" customFormat="false" ht="15" hidden="false" customHeight="false" outlineLevel="0" collapsed="false">
      <c r="B140" s="44" t="s">
        <v>397</v>
      </c>
      <c r="C140" s="45" t="n">
        <f aca="false">C121+C129-C113</f>
        <v>0</v>
      </c>
      <c r="D140" s="45" t="n">
        <f aca="false">D121+D129-D113</f>
        <v>0</v>
      </c>
      <c r="E140" s="45" t="n">
        <f aca="false">E121+E129-E113</f>
        <v>0</v>
      </c>
      <c r="F140" s="45" t="n">
        <f aca="false">F121+F129-F113</f>
        <v>0</v>
      </c>
      <c r="G140" s="45" t="n">
        <f aca="false">G121+G129-G113</f>
        <v>0</v>
      </c>
      <c r="H140" s="45" t="n">
        <f aca="false">H121+H129-H113</f>
        <v>0</v>
      </c>
      <c r="I140" s="45" t="n">
        <f aca="false">I121+I129-I113</f>
        <v>0</v>
      </c>
      <c r="J140" s="45" t="n">
        <f aca="false">J121+J129-J113</f>
        <v>0</v>
      </c>
      <c r="K140" s="45" t="n">
        <f aca="false">K121+K129-K113</f>
        <v>0</v>
      </c>
      <c r="L140" s="45" t="n">
        <f aca="false">L121+L129-L113</f>
        <v>0</v>
      </c>
      <c r="M140" s="37"/>
    </row>
    <row r="141" customFormat="false" ht="15" hidden="false" customHeight="false" outlineLevel="0" collapsed="false">
      <c r="B141" s="44" t="s">
        <v>398</v>
      </c>
      <c r="C141" s="45" t="n">
        <f aca="false">C119+C127-C111</f>
        <v>-1</v>
      </c>
      <c r="D141" s="45" t="n">
        <f aca="false">D119+D127-D111</f>
        <v>0</v>
      </c>
      <c r="E141" s="45" t="n">
        <f aca="false">E119+E127-E111</f>
        <v>1</v>
      </c>
      <c r="F141" s="45" t="n">
        <f aca="false">F119+F127-F111</f>
        <v>0</v>
      </c>
      <c r="G141" s="45" t="n">
        <f aca="false">G119+G127-G111</f>
        <v>-1</v>
      </c>
      <c r="H141" s="45" t="n">
        <f aca="false">H119+H127-H111</f>
        <v>-1</v>
      </c>
      <c r="I141" s="45" t="n">
        <f aca="false">I119+I127-I111</f>
        <v>0</v>
      </c>
      <c r="J141" s="45" t="n">
        <f aca="false">J119+J127-J111</f>
        <v>2</v>
      </c>
      <c r="K141" s="45" t="n">
        <f aca="false">K119+K127-K111</f>
        <v>0</v>
      </c>
      <c r="L141" s="45" t="n">
        <f aca="false">L119+L127-L111</f>
        <v>0</v>
      </c>
      <c r="M141" s="37"/>
    </row>
    <row r="142" customFormat="false" ht="15" hidden="false" customHeight="false" outlineLevel="0" collapsed="false">
      <c r="M142" s="37"/>
    </row>
    <row r="143" customFormat="false" ht="15" hidden="false" customHeight="false" outlineLevel="0" collapsed="false">
      <c r="M143" s="37"/>
    </row>
    <row r="144" customFormat="false" ht="15" hidden="false" customHeight="false" outlineLevel="0" collapsed="false">
      <c r="B144" s="53" t="s">
        <v>400</v>
      </c>
      <c r="M144" s="37"/>
    </row>
    <row r="145" customFormat="false" ht="27" hidden="false" customHeight="true" outlineLevel="0" collapsed="false">
      <c r="B145" s="54" t="s">
        <v>401</v>
      </c>
      <c r="C145" s="54"/>
      <c r="D145" s="54"/>
      <c r="E145" s="54"/>
      <c r="F145" s="54"/>
      <c r="G145" s="54"/>
      <c r="H145" s="54"/>
      <c r="I145" s="54"/>
      <c r="J145" s="54"/>
      <c r="K145" s="54"/>
      <c r="L145" s="54"/>
      <c r="M145" s="54"/>
      <c r="N145" s="54"/>
    </row>
    <row r="146" customFormat="false" ht="39" hidden="false" customHeight="true" outlineLevel="0" collapsed="false">
      <c r="B146" s="54" t="s">
        <v>402</v>
      </c>
      <c r="C146" s="54"/>
      <c r="D146" s="54"/>
      <c r="E146" s="54"/>
      <c r="F146" s="54"/>
      <c r="G146" s="54"/>
      <c r="H146" s="54"/>
      <c r="I146" s="54"/>
      <c r="J146" s="54"/>
      <c r="K146" s="54"/>
      <c r="L146" s="54"/>
      <c r="M146" s="54"/>
      <c r="N146" s="54"/>
    </row>
    <row r="147" customFormat="false" ht="27" hidden="false" customHeight="true" outlineLevel="0" collapsed="false">
      <c r="B147" s="54" t="s">
        <v>403</v>
      </c>
      <c r="C147" s="54"/>
      <c r="D147" s="54"/>
      <c r="E147" s="54"/>
      <c r="F147" s="54"/>
      <c r="G147" s="54"/>
      <c r="H147" s="54"/>
      <c r="I147" s="54"/>
      <c r="J147" s="54"/>
      <c r="K147" s="54"/>
      <c r="L147" s="54"/>
      <c r="M147" s="54"/>
      <c r="N147" s="54"/>
    </row>
    <row r="148" customFormat="false" ht="14.25" hidden="false" customHeight="true" outlineLevel="0" collapsed="false">
      <c r="B148" s="54" t="s">
        <v>404</v>
      </c>
      <c r="C148" s="54"/>
      <c r="D148" s="54"/>
      <c r="E148" s="54"/>
      <c r="F148" s="54"/>
      <c r="G148" s="54"/>
      <c r="H148" s="54"/>
      <c r="I148" s="54"/>
      <c r="J148" s="54"/>
      <c r="K148" s="54"/>
      <c r="L148" s="54"/>
      <c r="M148" s="54"/>
      <c r="N148" s="54"/>
    </row>
    <row r="149" customFormat="false" ht="27" hidden="false" customHeight="true" outlineLevel="0" collapsed="false">
      <c r="B149" s="54" t="s">
        <v>405</v>
      </c>
      <c r="C149" s="54"/>
      <c r="D149" s="54"/>
      <c r="E149" s="54"/>
      <c r="F149" s="54"/>
      <c r="G149" s="54"/>
      <c r="H149" s="54"/>
      <c r="I149" s="54"/>
      <c r="J149" s="54"/>
      <c r="K149" s="54"/>
      <c r="L149" s="54"/>
      <c r="M149" s="54"/>
      <c r="N149" s="54"/>
    </row>
    <row r="150" customFormat="false" ht="27" hidden="false" customHeight="true" outlineLevel="0" collapsed="false">
      <c r="B150" s="54" t="s">
        <v>406</v>
      </c>
      <c r="C150" s="54"/>
      <c r="D150" s="54"/>
      <c r="E150" s="54"/>
      <c r="F150" s="54"/>
      <c r="G150" s="54"/>
      <c r="H150" s="54"/>
      <c r="I150" s="54"/>
      <c r="J150" s="54"/>
      <c r="K150" s="54"/>
      <c r="L150" s="54"/>
      <c r="M150" s="54"/>
      <c r="N150" s="54"/>
    </row>
    <row r="151" customFormat="false" ht="14.25" hidden="false" customHeight="true" outlineLevel="0" collapsed="false">
      <c r="B151" s="54" t="s">
        <v>407</v>
      </c>
      <c r="C151" s="54"/>
      <c r="D151" s="54"/>
      <c r="E151" s="54"/>
      <c r="F151" s="54"/>
      <c r="G151" s="54"/>
      <c r="H151" s="54"/>
      <c r="I151" s="54"/>
      <c r="J151" s="54"/>
      <c r="K151" s="54"/>
      <c r="L151" s="54"/>
      <c r="M151" s="54"/>
      <c r="N151" s="54"/>
    </row>
    <row r="152" customFormat="false" ht="15" hidden="false" customHeight="false" outlineLevel="0" collapsed="false">
      <c r="M152" s="37"/>
    </row>
    <row r="153" customFormat="false" ht="15" hidden="false" customHeight="false" outlineLevel="0" collapsed="false">
      <c r="B153" s="38" t="s">
        <v>408</v>
      </c>
      <c r="C153" s="38"/>
      <c r="D153" s="38"/>
      <c r="E153" s="38"/>
      <c r="F153" s="38"/>
      <c r="G153" s="38"/>
      <c r="H153" s="38"/>
      <c r="I153" s="38"/>
      <c r="J153" s="38"/>
      <c r="K153" s="38"/>
      <c r="L153" s="38"/>
      <c r="M153" s="39"/>
      <c r="N153" s="38"/>
    </row>
  </sheetData>
  <mergeCells count="9">
    <mergeCell ref="B3:L3"/>
    <mergeCell ref="M3:N3"/>
    <mergeCell ref="B145:N145"/>
    <mergeCell ref="B146:N146"/>
    <mergeCell ref="B147:N147"/>
    <mergeCell ref="B148:N148"/>
    <mergeCell ref="B149:N149"/>
    <mergeCell ref="B150:N150"/>
    <mergeCell ref="B151:N15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AO18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66"/>
    <col collapsed="false" customWidth="true" hidden="false" outlineLevel="0" max="4" min="4" style="0" width="8"/>
    <col collapsed="false" customWidth="true" hidden="false" outlineLevel="0" max="5" min="5" style="0" width="36"/>
    <col collapsed="false" customWidth="true" hidden="false" outlineLevel="0" max="12" min="6" style="0" width="12"/>
    <col collapsed="false" customWidth="true" hidden="false" outlineLevel="0" max="13" min="13" style="0" width="2.5"/>
    <col collapsed="false" customWidth="true" hidden="false" outlineLevel="0" max="41" min="14" style="0" width="10.51"/>
  </cols>
  <sheetData>
    <row r="2" customFormat="false" ht="17.35" hidden="false" customHeight="false" outlineLevel="0" collapsed="false">
      <c r="C2" s="55" t="s">
        <v>409</v>
      </c>
    </row>
    <row r="3" customFormat="false" ht="15" hidden="false" customHeight="false" outlineLevel="0" collapsed="false">
      <c r="C3" s="56" t="s">
        <v>410</v>
      </c>
    </row>
    <row r="4" customFormat="false" ht="15" hidden="false" customHeight="false" outlineLevel="0" collapsed="false">
      <c r="C4" s="56" t="s">
        <v>411</v>
      </c>
    </row>
    <row r="5" customFormat="false" ht="15" hidden="false" customHeight="false" outlineLevel="0" collapsed="false">
      <c r="C5" s="48" t="s">
        <v>412</v>
      </c>
      <c r="D5" s="57" t="str">
        <f aca="false">'Key Drivers'!D5</f>
        <v>Base</v>
      </c>
      <c r="E5" s="58" t="s">
        <v>413</v>
      </c>
    </row>
    <row r="6" customFormat="false" ht="15" hidden="false" customHeight="false" outlineLevel="0" collapsed="false">
      <c r="F6" s="59" t="s">
        <v>414</v>
      </c>
      <c r="G6" s="59"/>
      <c r="H6" s="59" t="s">
        <v>415</v>
      </c>
      <c r="I6" s="59"/>
      <c r="J6" s="59"/>
      <c r="K6" s="59"/>
      <c r="L6" s="59"/>
      <c r="N6" s="59" t="s">
        <v>416</v>
      </c>
      <c r="O6" s="59"/>
      <c r="P6" s="59"/>
      <c r="Q6" s="59"/>
      <c r="R6" s="59"/>
      <c r="S6" s="59"/>
      <c r="T6" s="59"/>
      <c r="U6" s="59"/>
      <c r="V6" s="59"/>
      <c r="W6" s="59"/>
      <c r="X6" s="59" t="s">
        <v>417</v>
      </c>
      <c r="Y6" s="59"/>
      <c r="Z6" s="59"/>
      <c r="AA6" s="59"/>
      <c r="AB6" s="59"/>
      <c r="AC6" s="59"/>
      <c r="AD6" s="59"/>
      <c r="AE6" s="59"/>
      <c r="AF6" s="59"/>
      <c r="AG6" s="59"/>
      <c r="AH6" s="59"/>
      <c r="AI6" s="59"/>
      <c r="AJ6" s="59"/>
      <c r="AK6" s="59"/>
      <c r="AL6" s="59"/>
      <c r="AM6" s="59"/>
      <c r="AN6" s="59"/>
      <c r="AO6" s="59"/>
    </row>
    <row r="7" customFormat="false" ht="15" hidden="false" customHeight="false" outlineLevel="0" collapsed="false">
      <c r="C7" s="34" t="s">
        <v>418</v>
      </c>
      <c r="D7" s="34" t="s">
        <v>419</v>
      </c>
      <c r="E7" s="34" t="s">
        <v>420</v>
      </c>
      <c r="F7" s="35" t="s">
        <v>421</v>
      </c>
      <c r="G7" s="35" t="s">
        <v>422</v>
      </c>
      <c r="H7" s="35" t="s">
        <v>423</v>
      </c>
      <c r="I7" s="35" t="s">
        <v>424</v>
      </c>
      <c r="J7" s="35" t="s">
        <v>425</v>
      </c>
      <c r="K7" s="35" t="s">
        <v>426</v>
      </c>
      <c r="L7" s="35" t="s">
        <v>427</v>
      </c>
      <c r="N7" s="35" t="s">
        <v>7</v>
      </c>
      <c r="O7" s="35" t="s">
        <v>8</v>
      </c>
      <c r="P7" s="35" t="s">
        <v>9</v>
      </c>
      <c r="Q7" s="35" t="s">
        <v>10</v>
      </c>
      <c r="R7" s="35" t="s">
        <v>11</v>
      </c>
      <c r="S7" s="35" t="s">
        <v>12</v>
      </c>
      <c r="T7" s="35" t="s">
        <v>13</v>
      </c>
      <c r="U7" s="35" t="s">
        <v>14</v>
      </c>
      <c r="V7" s="35" t="s">
        <v>15</v>
      </c>
      <c r="W7" s="35" t="s">
        <v>16</v>
      </c>
      <c r="X7" s="35" t="s">
        <v>368</v>
      </c>
      <c r="Y7" s="35" t="s">
        <v>369</v>
      </c>
      <c r="Z7" s="35" t="s">
        <v>428</v>
      </c>
      <c r="AA7" s="35" t="s">
        <v>429</v>
      </c>
      <c r="AB7" s="35" t="s">
        <v>430</v>
      </c>
      <c r="AC7" s="35" t="s">
        <v>431</v>
      </c>
      <c r="AD7" s="35" t="s">
        <v>432</v>
      </c>
      <c r="AE7" s="35" t="s">
        <v>433</v>
      </c>
      <c r="AF7" s="35" t="s">
        <v>434</v>
      </c>
      <c r="AG7" s="35" t="s">
        <v>435</v>
      </c>
      <c r="AH7" s="35" t="s">
        <v>436</v>
      </c>
      <c r="AI7" s="35" t="s">
        <v>437</v>
      </c>
      <c r="AJ7" s="35" t="s">
        <v>438</v>
      </c>
      <c r="AK7" s="35" t="s">
        <v>439</v>
      </c>
      <c r="AL7" s="35" t="s">
        <v>440</v>
      </c>
      <c r="AM7" s="35" t="s">
        <v>441</v>
      </c>
      <c r="AN7" s="35" t="s">
        <v>442</v>
      </c>
      <c r="AO7" s="35" t="s">
        <v>443</v>
      </c>
    </row>
    <row r="8" customFormat="false" ht="15" hidden="false" customHeight="false" outlineLevel="0" collapsed="false">
      <c r="C8" s="34" t="s">
        <v>17</v>
      </c>
      <c r="D8" s="34"/>
      <c r="E8" s="34"/>
      <c r="F8" s="60" t="n">
        <v>45657</v>
      </c>
      <c r="G8" s="60" t="n">
        <v>46022</v>
      </c>
      <c r="H8" s="60" t="n">
        <v>46387</v>
      </c>
      <c r="I8" s="60" t="n">
        <v>46752</v>
      </c>
      <c r="J8" s="60" t="n">
        <v>47118</v>
      </c>
      <c r="K8" s="60" t="n">
        <v>47483</v>
      </c>
      <c r="L8" s="60" t="n">
        <v>47848</v>
      </c>
      <c r="N8" s="60" t="n">
        <v>45382</v>
      </c>
      <c r="O8" s="60" t="n">
        <v>45473</v>
      </c>
      <c r="P8" s="60" t="n">
        <v>45565</v>
      </c>
      <c r="Q8" s="60" t="n">
        <v>45657</v>
      </c>
      <c r="R8" s="60" t="n">
        <v>45747</v>
      </c>
      <c r="S8" s="60" t="n">
        <v>45838</v>
      </c>
      <c r="T8" s="60" t="n">
        <v>45930</v>
      </c>
      <c r="U8" s="60" t="n">
        <v>46022</v>
      </c>
      <c r="V8" s="60" t="n">
        <v>46112</v>
      </c>
      <c r="W8" s="60" t="n">
        <v>46203</v>
      </c>
      <c r="X8" s="60" t="n">
        <v>46295</v>
      </c>
      <c r="Y8" s="60" t="n">
        <v>46387</v>
      </c>
      <c r="Z8" s="60" t="n">
        <v>46477</v>
      </c>
      <c r="AA8" s="60" t="n">
        <v>46568</v>
      </c>
      <c r="AB8" s="60" t="n">
        <v>46660</v>
      </c>
      <c r="AC8" s="60" t="n">
        <v>46752</v>
      </c>
      <c r="AD8" s="60" t="n">
        <v>46843</v>
      </c>
      <c r="AE8" s="60" t="n">
        <v>46934</v>
      </c>
      <c r="AF8" s="60" t="n">
        <v>47026</v>
      </c>
      <c r="AG8" s="60" t="n">
        <v>47118</v>
      </c>
      <c r="AH8" s="60" t="n">
        <v>47208</v>
      </c>
      <c r="AI8" s="60" t="n">
        <v>47299</v>
      </c>
      <c r="AJ8" s="60" t="n">
        <v>47391</v>
      </c>
      <c r="AK8" s="60" t="n">
        <v>47483</v>
      </c>
      <c r="AL8" s="60" t="n">
        <v>47573</v>
      </c>
      <c r="AM8" s="60" t="n">
        <v>47664</v>
      </c>
      <c r="AN8" s="60" t="n">
        <v>47756</v>
      </c>
      <c r="AO8" s="60" t="n">
        <v>47848</v>
      </c>
    </row>
    <row r="10" customFormat="false" ht="15" hidden="false" customHeight="false" outlineLevel="0" collapsed="false">
      <c r="C10" s="61" t="s">
        <v>444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row>
    <row r="11" customFormat="false" ht="15" hidden="false" customHeight="false" outlineLevel="0" collapsed="false">
      <c r="C11" s="40" t="s">
        <v>445</v>
      </c>
      <c r="D11" s="58"/>
      <c r="E11" s="58" t="s">
        <v>446</v>
      </c>
      <c r="F11" s="41" t="n">
        <f aca="false">F69</f>
        <v>5708</v>
      </c>
      <c r="G11" s="41" t="n">
        <f aca="false">G69</f>
        <v>6686</v>
      </c>
      <c r="H11" s="62" t="n">
        <f aca="false">H69</f>
        <v>9347.4304</v>
      </c>
      <c r="I11" s="62" t="n">
        <f aca="false">I69</f>
        <v>12605.1505901942</v>
      </c>
      <c r="J11" s="62" t="n">
        <f aca="false">J69</f>
        <v>14675.7299989765</v>
      </c>
      <c r="K11" s="62" t="n">
        <f aca="false">K69</f>
        <v>16934.4981303736</v>
      </c>
      <c r="L11" s="62" t="n">
        <f aca="false">L69</f>
        <v>19222.0871206199</v>
      </c>
      <c r="N11" s="41" t="n">
        <f aca="false">N69</f>
        <v>1201</v>
      </c>
      <c r="O11" s="41" t="n">
        <f aca="false">O69</f>
        <v>1285</v>
      </c>
      <c r="P11" s="41" t="n">
        <f aca="false">P69</f>
        <v>1426</v>
      </c>
      <c r="Q11" s="41" t="n">
        <f aca="false">Q69</f>
        <v>1796</v>
      </c>
      <c r="R11" s="41" t="n">
        <f aca="false">R69</f>
        <v>1491</v>
      </c>
      <c r="S11" s="41" t="n">
        <f aca="false">S69</f>
        <v>1504</v>
      </c>
      <c r="T11" s="41" t="n">
        <f aca="false">T69</f>
        <v>1744</v>
      </c>
      <c r="U11" s="41" t="n">
        <f aca="false">U69</f>
        <v>1947</v>
      </c>
      <c r="V11" s="41" t="n">
        <f aca="false">V69</f>
        <v>1885</v>
      </c>
      <c r="W11" s="41" t="n">
        <f aca="false">W69</f>
        <v>1965</v>
      </c>
      <c r="X11" s="62" t="n">
        <f aca="false">X69</f>
        <v>2461.536</v>
      </c>
      <c r="Y11" s="62" t="n">
        <f aca="false">Y69</f>
        <v>3035.8944</v>
      </c>
      <c r="Z11" s="62" t="n">
        <f aca="false">Z69</f>
        <v>2964.5508816</v>
      </c>
      <c r="AA11" s="62" t="n">
        <f aca="false">AA69</f>
        <v>3107.79798019891</v>
      </c>
      <c r="AB11" s="62" t="n">
        <f aca="false">AB69</f>
        <v>3192.90383257975</v>
      </c>
      <c r="AC11" s="62" t="n">
        <f aca="false">AC69</f>
        <v>3339.89789581549</v>
      </c>
      <c r="AD11" s="62" t="n">
        <f aca="false">AD69</f>
        <v>3448.09883433354</v>
      </c>
      <c r="AE11" s="62" t="n">
        <f aca="false">AE69</f>
        <v>3594.06835165366</v>
      </c>
      <c r="AF11" s="62" t="n">
        <f aca="false">AF69</f>
        <v>3741.91248537337</v>
      </c>
      <c r="AG11" s="62" t="n">
        <f aca="false">AG69</f>
        <v>3891.65032761594</v>
      </c>
      <c r="AH11" s="62" t="n">
        <f aca="false">AH69</f>
        <v>3977.14309036864</v>
      </c>
      <c r="AI11" s="62" t="n">
        <f aca="false">AI69</f>
        <v>4157.29524379019</v>
      </c>
      <c r="AJ11" s="62" t="n">
        <f aca="false">AJ69</f>
        <v>4308.02063977181</v>
      </c>
      <c r="AK11" s="62" t="n">
        <f aca="false">AK69</f>
        <v>4492.03915644294</v>
      </c>
      <c r="AL11" s="62" t="n">
        <f aca="false">AL69</f>
        <v>4578.08385014382</v>
      </c>
      <c r="AM11" s="62" t="n">
        <f aca="false">AM69</f>
        <v>4728.77911021105</v>
      </c>
      <c r="AN11" s="62" t="n">
        <f aca="false">AN69</f>
        <v>4880.8668707827</v>
      </c>
      <c r="AO11" s="62" t="n">
        <f aca="false">AO69</f>
        <v>5034.35728948232</v>
      </c>
    </row>
    <row r="12" customFormat="false" ht="15" hidden="false" customHeight="false" outlineLevel="0" collapsed="false">
      <c r="C12" s="40" t="s">
        <v>447</v>
      </c>
      <c r="D12" s="58"/>
      <c r="E12" s="58" t="s">
        <v>448</v>
      </c>
      <c r="F12" s="41" t="n">
        <f aca="false">F73</f>
        <v>12525</v>
      </c>
      <c r="G12" s="41" t="n">
        <f aca="false">G73</f>
        <v>13187</v>
      </c>
      <c r="H12" s="62" t="n">
        <f aca="false">H73</f>
        <v>14032.36</v>
      </c>
      <c r="I12" s="62" t="n">
        <f aca="false">I73</f>
        <v>14733.978</v>
      </c>
      <c r="J12" s="62" t="n">
        <f aca="false">J73</f>
        <v>15397.00701</v>
      </c>
      <c r="K12" s="62" t="n">
        <f aca="false">K73</f>
        <v>16012.8872904</v>
      </c>
      <c r="L12" s="62" t="n">
        <f aca="false">L73</f>
        <v>16653.402782016</v>
      </c>
      <c r="N12" s="41" t="n">
        <f aca="false">N73</f>
        <v>2860.5</v>
      </c>
      <c r="O12" s="41" t="n">
        <f aca="false">O73</f>
        <v>3196.5</v>
      </c>
      <c r="P12" s="41" t="n">
        <f aca="false">P73</f>
        <v>2806.5</v>
      </c>
      <c r="Q12" s="41" t="n">
        <f aca="false">Q73</f>
        <v>3661.5</v>
      </c>
      <c r="R12" s="41" t="n">
        <f aca="false">R73</f>
        <v>2958</v>
      </c>
      <c r="S12" s="41" t="n">
        <f aca="false">S73</f>
        <v>3281</v>
      </c>
      <c r="T12" s="41" t="n">
        <f aca="false">T73</f>
        <v>3120.5</v>
      </c>
      <c r="U12" s="41" t="n">
        <f aca="false">U73</f>
        <v>3827.5</v>
      </c>
      <c r="V12" s="41" t="n">
        <f aca="false">V73</f>
        <v>3086</v>
      </c>
      <c r="W12" s="41" t="n">
        <f aca="false">W73</f>
        <v>3512</v>
      </c>
      <c r="X12" s="62" t="n">
        <f aca="false">X73</f>
        <v>3338.935</v>
      </c>
      <c r="Y12" s="62" t="n">
        <f aca="false">Y73</f>
        <v>4095.425</v>
      </c>
      <c r="Z12" s="62" t="n">
        <f aca="false">Z73</f>
        <v>3240.3</v>
      </c>
      <c r="AA12" s="62" t="n">
        <f aca="false">AA73</f>
        <v>3687.6</v>
      </c>
      <c r="AB12" s="62" t="n">
        <f aca="false">AB73</f>
        <v>3505.88175</v>
      </c>
      <c r="AC12" s="62" t="n">
        <f aca="false">AC73</f>
        <v>4300.19625</v>
      </c>
      <c r="AD12" s="62" t="n">
        <f aca="false">AD73</f>
        <v>3386.1135</v>
      </c>
      <c r="AE12" s="62" t="n">
        <f aca="false">AE73</f>
        <v>3853.542</v>
      </c>
      <c r="AF12" s="62" t="n">
        <f aca="false">AF73</f>
        <v>3663.64642875</v>
      </c>
      <c r="AG12" s="62" t="n">
        <f aca="false">AG73</f>
        <v>4493.70508125</v>
      </c>
      <c r="AH12" s="62" t="n">
        <f aca="false">AH73</f>
        <v>3521.55804</v>
      </c>
      <c r="AI12" s="62" t="n">
        <f aca="false">AI73</f>
        <v>4007.68368</v>
      </c>
      <c r="AJ12" s="62" t="n">
        <f aca="false">AJ73</f>
        <v>3810.1922859</v>
      </c>
      <c r="AK12" s="62" t="n">
        <f aca="false">AK73</f>
        <v>4673.4532845</v>
      </c>
      <c r="AL12" s="62" t="n">
        <f aca="false">AL73</f>
        <v>3662.4203616</v>
      </c>
      <c r="AM12" s="62" t="n">
        <f aca="false">AM73</f>
        <v>4167.9910272</v>
      </c>
      <c r="AN12" s="62" t="n">
        <f aca="false">AN73</f>
        <v>3962.599977336</v>
      </c>
      <c r="AO12" s="62" t="n">
        <f aca="false">AO73</f>
        <v>4860.39141588</v>
      </c>
    </row>
    <row r="13" customFormat="false" ht="15" hidden="false" customHeight="false" outlineLevel="0" collapsed="false">
      <c r="C13" s="40" t="s">
        <v>449</v>
      </c>
      <c r="D13" s="58"/>
      <c r="E13" s="58" t="s">
        <v>450</v>
      </c>
      <c r="F13" s="41" t="n">
        <f aca="false">F91</f>
        <v>5534</v>
      </c>
      <c r="G13" s="41" t="n">
        <f aca="false">G91</f>
        <v>7378</v>
      </c>
      <c r="H13" s="62" t="n">
        <f aca="false">H91</f>
        <v>12631.0421152542</v>
      </c>
      <c r="I13" s="62" t="n">
        <f aca="false">I91</f>
        <v>14584.605222128</v>
      </c>
      <c r="J13" s="62" t="n">
        <f aca="false">J91</f>
        <v>16832.9772307952</v>
      </c>
      <c r="K13" s="62" t="n">
        <f aca="false">K91</f>
        <v>18984.9144211751</v>
      </c>
      <c r="L13" s="62" t="n">
        <f aca="false">L91</f>
        <v>20935.5239801417</v>
      </c>
      <c r="N13" s="41" t="n">
        <f aca="false">N91</f>
        <v>1230</v>
      </c>
      <c r="O13" s="41" t="n">
        <f aca="false">O91</f>
        <v>1286</v>
      </c>
      <c r="P13" s="41" t="n">
        <f aca="false">P91</f>
        <v>1451</v>
      </c>
      <c r="Q13" s="41" t="n">
        <f aca="false">Q91</f>
        <v>1567</v>
      </c>
      <c r="R13" s="41" t="n">
        <f aca="false">R91</f>
        <v>1391</v>
      </c>
      <c r="S13" s="41" t="n">
        <f aca="false">S91</f>
        <v>1673</v>
      </c>
      <c r="T13" s="41" t="n">
        <f aca="false">T91</f>
        <v>2035</v>
      </c>
      <c r="U13" s="41" t="n">
        <f aca="false">U91</f>
        <v>2279</v>
      </c>
      <c r="V13" s="41" t="n">
        <f aca="false">V91</f>
        <v>2501</v>
      </c>
      <c r="W13" s="41" t="n">
        <f aca="false">W91</f>
        <v>3130</v>
      </c>
      <c r="X13" s="62" t="n">
        <f aca="false">X91</f>
        <v>3352.76569491525</v>
      </c>
      <c r="Y13" s="62" t="n">
        <f aca="false">Y91</f>
        <v>3647.27642033898</v>
      </c>
      <c r="Z13" s="62" t="n">
        <f aca="false">Z91</f>
        <v>3328.34266962373</v>
      </c>
      <c r="AA13" s="62" t="n">
        <f aca="false">AA91</f>
        <v>3490.80381181781</v>
      </c>
      <c r="AB13" s="62" t="n">
        <f aca="false">AB91</f>
        <v>3717.39783135147</v>
      </c>
      <c r="AC13" s="62" t="n">
        <f aca="false">AC91</f>
        <v>4048.06090933498</v>
      </c>
      <c r="AD13" s="62" t="n">
        <f aca="false">AD91</f>
        <v>3916.27500909445</v>
      </c>
      <c r="AE13" s="62" t="n">
        <f aca="false">AE91</f>
        <v>4057.98592727288</v>
      </c>
      <c r="AF13" s="62" t="n">
        <f aca="false">AF91</f>
        <v>4269.82998763828</v>
      </c>
      <c r="AG13" s="62" t="n">
        <f aca="false">AG91</f>
        <v>4588.88630678962</v>
      </c>
      <c r="AH13" s="62" t="n">
        <f aca="false">AH91</f>
        <v>4495.37055180206</v>
      </c>
      <c r="AI13" s="62" t="n">
        <f aca="false">AI91</f>
        <v>4607.92251818055</v>
      </c>
      <c r="AJ13" s="62" t="n">
        <f aca="false">AJ91</f>
        <v>4793.88006642776</v>
      </c>
      <c r="AK13" s="62" t="n">
        <f aca="false">AK91</f>
        <v>5087.74128476473</v>
      </c>
      <c r="AL13" s="62" t="n">
        <f aca="false">AL91</f>
        <v>5011.44811282757</v>
      </c>
      <c r="AM13" s="62" t="n">
        <f aca="false">AM91</f>
        <v>5103.22332810367</v>
      </c>
      <c r="AN13" s="62" t="n">
        <f aca="false">AN91</f>
        <v>5271.50102422892</v>
      </c>
      <c r="AO13" s="62" t="n">
        <f aca="false">AO91</f>
        <v>5549.35151498151</v>
      </c>
    </row>
    <row r="14" customFormat="false" ht="15" hidden="false" customHeight="false" outlineLevel="0" collapsed="false">
      <c r="C14" s="40" t="s">
        <v>451</v>
      </c>
      <c r="D14" s="58"/>
      <c r="E14" s="58"/>
      <c r="F14" s="41" t="n">
        <f aca="false">F98</f>
        <v>1860</v>
      </c>
      <c r="G14" s="41" t="n">
        <f aca="false">G98</f>
        <v>2108</v>
      </c>
      <c r="H14" s="62" t="n">
        <f aca="false">H98</f>
        <v>2181.8</v>
      </c>
      <c r="I14" s="62" t="n">
        <f aca="false">I98</f>
        <v>2290.89</v>
      </c>
      <c r="J14" s="62" t="n">
        <f aca="false">J98</f>
        <v>2405.4345</v>
      </c>
      <c r="K14" s="62" t="n">
        <f aca="false">K98</f>
        <v>2525.706225</v>
      </c>
      <c r="L14" s="62" t="n">
        <f aca="false">L98</f>
        <v>2651.99153625</v>
      </c>
      <c r="N14" s="41" t="n">
        <f aca="false">N98</f>
        <v>382</v>
      </c>
      <c r="O14" s="41" t="n">
        <f aca="false">O98</f>
        <v>465</v>
      </c>
      <c r="P14" s="41" t="n">
        <f aca="false">P98</f>
        <v>438</v>
      </c>
      <c r="Q14" s="41" t="n">
        <f aca="false">Q98</f>
        <v>575</v>
      </c>
      <c r="R14" s="41" t="n">
        <f aca="false">R98</f>
        <v>449</v>
      </c>
      <c r="S14" s="41" t="n">
        <f aca="false">S98</f>
        <v>489</v>
      </c>
      <c r="T14" s="41" t="n">
        <f aca="false">T98</f>
        <v>527</v>
      </c>
      <c r="U14" s="41" t="n">
        <f aca="false">U98</f>
        <v>643</v>
      </c>
      <c r="V14" s="41" t="n">
        <f aca="false">V98</f>
        <v>458</v>
      </c>
      <c r="W14" s="41" t="n">
        <f aca="false">W98</f>
        <v>507</v>
      </c>
      <c r="X14" s="62" t="n">
        <f aca="false">X98</f>
        <v>548.08</v>
      </c>
      <c r="Y14" s="62" t="n">
        <f aca="false">Y98</f>
        <v>668.72</v>
      </c>
      <c r="Z14" s="62" t="n">
        <f aca="false">Z98</f>
        <v>480.9</v>
      </c>
      <c r="AA14" s="62" t="n">
        <f aca="false">AA98</f>
        <v>532.35</v>
      </c>
      <c r="AB14" s="62" t="n">
        <f aca="false">AB98</f>
        <v>575.484</v>
      </c>
      <c r="AC14" s="62" t="n">
        <f aca="false">AC98</f>
        <v>702.156</v>
      </c>
      <c r="AD14" s="62" t="n">
        <f aca="false">AD98</f>
        <v>504.945</v>
      </c>
      <c r="AE14" s="62" t="n">
        <f aca="false">AE98</f>
        <v>558.9675</v>
      </c>
      <c r="AF14" s="62" t="n">
        <f aca="false">AF98</f>
        <v>604.2582</v>
      </c>
      <c r="AG14" s="62" t="n">
        <f aca="false">AG98</f>
        <v>737.2638</v>
      </c>
      <c r="AH14" s="62" t="n">
        <f aca="false">AH98</f>
        <v>530.19225</v>
      </c>
      <c r="AI14" s="62" t="n">
        <f aca="false">AI98</f>
        <v>586.915875</v>
      </c>
      <c r="AJ14" s="62" t="n">
        <f aca="false">AJ98</f>
        <v>634.47111</v>
      </c>
      <c r="AK14" s="62" t="n">
        <f aca="false">AK98</f>
        <v>774.12699</v>
      </c>
      <c r="AL14" s="62" t="n">
        <f aca="false">AL98</f>
        <v>556.7018625</v>
      </c>
      <c r="AM14" s="62" t="n">
        <f aca="false">AM98</f>
        <v>616.26166875</v>
      </c>
      <c r="AN14" s="62" t="n">
        <f aca="false">AN98</f>
        <v>666.1946655</v>
      </c>
      <c r="AO14" s="62" t="n">
        <f aca="false">AO98</f>
        <v>812.8333395</v>
      </c>
    </row>
    <row r="15" customFormat="false" ht="15" hidden="false" customHeight="false" outlineLevel="0" collapsed="false">
      <c r="C15" s="40" t="s">
        <v>452</v>
      </c>
      <c r="D15" s="58"/>
      <c r="E15" s="58" t="s">
        <v>453</v>
      </c>
      <c r="F15" s="41" t="n">
        <f aca="false">F105</f>
        <v>8047</v>
      </c>
      <c r="G15" s="41" t="n">
        <f aca="false">G105</f>
        <v>7251</v>
      </c>
      <c r="H15" s="62" t="n">
        <f aca="false">H105</f>
        <v>5641.52826086957</v>
      </c>
      <c r="I15" s="62" t="n">
        <f aca="false">I105</f>
        <v>4408.43460652174</v>
      </c>
      <c r="J15" s="62" t="n">
        <f aca="false">J105</f>
        <v>3881.68318943478</v>
      </c>
      <c r="K15" s="62" t="n">
        <f aca="false">K105</f>
        <v>3689.88237301565</v>
      </c>
      <c r="L15" s="62" t="n">
        <f aca="false">L105</f>
        <v>3726.78119674581</v>
      </c>
      <c r="N15" s="41" t="n">
        <f aca="false">N105</f>
        <v>1232</v>
      </c>
      <c r="O15" s="41" t="n">
        <f aca="false">O105</f>
        <v>1668</v>
      </c>
      <c r="P15" s="41" t="n">
        <f aca="false">P105</f>
        <v>2494</v>
      </c>
      <c r="Q15" s="41" t="n">
        <f aca="false">Q105</f>
        <v>2653</v>
      </c>
      <c r="R15" s="41" t="n">
        <f aca="false">R105</f>
        <v>1412</v>
      </c>
      <c r="S15" s="41" t="n">
        <f aca="false">S105</f>
        <v>1797</v>
      </c>
      <c r="T15" s="41" t="n">
        <f aca="false">T105</f>
        <v>2203</v>
      </c>
      <c r="U15" s="41" t="n">
        <f aca="false">U105</f>
        <v>1839</v>
      </c>
      <c r="V15" s="41" t="n">
        <f aca="false">V105</f>
        <v>889</v>
      </c>
      <c r="W15" s="41" t="n">
        <f aca="false">W105</f>
        <v>1395</v>
      </c>
      <c r="X15" s="62" t="n">
        <f aca="false">X105</f>
        <v>1736.65254872564</v>
      </c>
      <c r="Y15" s="62" t="n">
        <f aca="false">Y105</f>
        <v>1620.87571214393</v>
      </c>
      <c r="Z15" s="62" t="n">
        <f aca="false">Z105</f>
        <v>793.518229173913</v>
      </c>
      <c r="AA15" s="62" t="n">
        <f aca="false">AA105</f>
        <v>1058.02430556522</v>
      </c>
      <c r="AB15" s="62" t="n">
        <f aca="false">AB105</f>
        <v>1322.53038195652</v>
      </c>
      <c r="AC15" s="62" t="n">
        <f aca="false">AC105</f>
        <v>1234.36168982609</v>
      </c>
      <c r="AD15" s="62" t="n">
        <f aca="false">AD105</f>
        <v>698.702974098261</v>
      </c>
      <c r="AE15" s="62" t="n">
        <f aca="false">AE105</f>
        <v>931.603965464348</v>
      </c>
      <c r="AF15" s="62" t="n">
        <f aca="false">AF105</f>
        <v>1164.50495683043</v>
      </c>
      <c r="AG15" s="62" t="n">
        <f aca="false">AG105</f>
        <v>1086.87129304174</v>
      </c>
      <c r="AH15" s="62" t="n">
        <f aca="false">AH105</f>
        <v>664.178827142817</v>
      </c>
      <c r="AI15" s="62" t="n">
        <f aca="false">AI105</f>
        <v>885.571769523757</v>
      </c>
      <c r="AJ15" s="62" t="n">
        <f aca="false">AJ105</f>
        <v>1106.9647119047</v>
      </c>
      <c r="AK15" s="62" t="n">
        <f aca="false">AK105</f>
        <v>1033.16706444438</v>
      </c>
      <c r="AL15" s="62" t="n">
        <f aca="false">AL105</f>
        <v>670.820615414246</v>
      </c>
      <c r="AM15" s="62" t="n">
        <f aca="false">AM105</f>
        <v>894.427487218994</v>
      </c>
      <c r="AN15" s="62" t="n">
        <f aca="false">AN105</f>
        <v>1118.03435902374</v>
      </c>
      <c r="AO15" s="62" t="n">
        <f aca="false">AO105</f>
        <v>1043.49873508883</v>
      </c>
    </row>
    <row r="16" customFormat="false" ht="15" hidden="false" customHeight="false" outlineLevel="0" collapsed="false">
      <c r="C16" s="40" t="s">
        <v>454</v>
      </c>
      <c r="D16" s="58"/>
      <c r="E16" s="58"/>
      <c r="F16" s="41" t="n">
        <f aca="false">F107</f>
        <v>1654</v>
      </c>
      <c r="G16" s="41" t="n">
        <f aca="false">G107</f>
        <v>1859</v>
      </c>
      <c r="H16" s="62" t="n">
        <f aca="false">H107</f>
        <v>2390.25</v>
      </c>
      <c r="I16" s="62" t="n">
        <f aca="false">I107</f>
        <v>2485.86</v>
      </c>
      <c r="J16" s="62" t="n">
        <f aca="false">J107</f>
        <v>2560.4358</v>
      </c>
      <c r="K16" s="62" t="n">
        <f aca="false">K107</f>
        <v>2637.248874</v>
      </c>
      <c r="L16" s="62" t="n">
        <f aca="false">L107</f>
        <v>2716.36634022</v>
      </c>
      <c r="N16" s="41" t="n">
        <f aca="false">N107</f>
        <v>407</v>
      </c>
      <c r="O16" s="41" t="n">
        <f aca="false">O107</f>
        <v>394</v>
      </c>
      <c r="P16" s="41" t="n">
        <f aca="false">P107</f>
        <v>397</v>
      </c>
      <c r="Q16" s="41" t="n">
        <f aca="false">Q107</f>
        <v>456</v>
      </c>
      <c r="R16" s="41" t="n">
        <f aca="false">R107</f>
        <v>438</v>
      </c>
      <c r="S16" s="41" t="n">
        <f aca="false">S107</f>
        <v>448</v>
      </c>
      <c r="T16" s="41" t="n">
        <f aca="false">T107</f>
        <v>444</v>
      </c>
      <c r="U16" s="41" t="n">
        <f aca="false">U107</f>
        <v>529</v>
      </c>
      <c r="V16" s="41" t="n">
        <f aca="false">V107</f>
        <v>543</v>
      </c>
      <c r="W16" s="41" t="n">
        <f aca="false">W107</f>
        <v>631</v>
      </c>
      <c r="X16" s="62" t="n">
        <f aca="false">X107</f>
        <v>555</v>
      </c>
      <c r="Y16" s="62" t="n">
        <f aca="false">Y107</f>
        <v>661.25</v>
      </c>
      <c r="Z16" s="62" t="n">
        <f aca="false">Z107</f>
        <v>564.72</v>
      </c>
      <c r="AA16" s="62" t="n">
        <f aca="false">AA107</f>
        <v>656.24</v>
      </c>
      <c r="AB16" s="62" t="n">
        <f aca="false">AB107</f>
        <v>577.2</v>
      </c>
      <c r="AC16" s="62" t="n">
        <f aca="false">AC107</f>
        <v>687.7</v>
      </c>
      <c r="AD16" s="62" t="n">
        <f aca="false">AD107</f>
        <v>581.6616</v>
      </c>
      <c r="AE16" s="62" t="n">
        <f aca="false">AE107</f>
        <v>675.9272</v>
      </c>
      <c r="AF16" s="62" t="n">
        <f aca="false">AF107</f>
        <v>594.516</v>
      </c>
      <c r="AG16" s="62" t="n">
        <f aca="false">AG107</f>
        <v>708.331</v>
      </c>
      <c r="AH16" s="62" t="n">
        <f aca="false">AH107</f>
        <v>599.111448</v>
      </c>
      <c r="AI16" s="62" t="n">
        <f aca="false">AI107</f>
        <v>696.205016</v>
      </c>
      <c r="AJ16" s="62" t="n">
        <f aca="false">AJ107</f>
        <v>612.35148</v>
      </c>
      <c r="AK16" s="62" t="n">
        <f aca="false">AK107</f>
        <v>729.58093</v>
      </c>
      <c r="AL16" s="62" t="n">
        <f aca="false">AL107</f>
        <v>617.08479144</v>
      </c>
      <c r="AM16" s="62" t="n">
        <f aca="false">AM107</f>
        <v>717.09116648</v>
      </c>
      <c r="AN16" s="62" t="n">
        <f aca="false">AN107</f>
        <v>630.7220244</v>
      </c>
      <c r="AO16" s="62" t="n">
        <f aca="false">AO107</f>
        <v>751.4683579</v>
      </c>
    </row>
    <row r="17" customFormat="false" ht="15" hidden="false" customHeight="false" outlineLevel="0" collapsed="false">
      <c r="C17" s="40" t="s">
        <v>114</v>
      </c>
      <c r="D17" s="58"/>
      <c r="E17" s="58"/>
      <c r="F17" s="41" t="n">
        <f aca="false">SUM(N17:Q17)</f>
        <v>-393</v>
      </c>
      <c r="G17" s="41" t="n">
        <f aca="false">SUM(R17:U17)</f>
        <v>-400</v>
      </c>
      <c r="H17" s="62" t="n">
        <f aca="false">SUM(V17:Y17)</f>
        <v>-190.612053880619</v>
      </c>
      <c r="I17" s="62" t="n">
        <f aca="false">SUM(Z17:AC17)</f>
        <v>-255.544592094219</v>
      </c>
      <c r="J17" s="62" t="n">
        <f aca="false">SUM(AD17:AG17)</f>
        <v>-278.766338646033</v>
      </c>
      <c r="K17" s="62" t="n">
        <f aca="false">SUM(AH17:AK17)</f>
        <v>-303.925686569822</v>
      </c>
      <c r="L17" s="62" t="n">
        <f aca="false">SUM(AL17:AO17)</f>
        <v>-329.530764779967</v>
      </c>
      <c r="N17" s="41" t="n">
        <f aca="false">'GEV Quarterly'!B90</f>
        <v>-52.5</v>
      </c>
      <c r="O17" s="41" t="n">
        <f aca="false">'GEV Quarterly'!C90</f>
        <v>-90.5</v>
      </c>
      <c r="P17" s="41" t="n">
        <f aca="false">'GEV Quarterly'!D90</f>
        <v>-99.5</v>
      </c>
      <c r="Q17" s="41" t="n">
        <f aca="false">'GEV Quarterly'!E90</f>
        <v>-150.5</v>
      </c>
      <c r="R17" s="41" t="n">
        <f aca="false">'GEV Quarterly'!F90</f>
        <v>-107</v>
      </c>
      <c r="S17" s="41" t="n">
        <f aca="false">'GEV Quarterly'!G90</f>
        <v>-80</v>
      </c>
      <c r="T17" s="41" t="n">
        <f aca="false">'GEV Quarterly'!H90</f>
        <v>-104.5</v>
      </c>
      <c r="U17" s="41" t="n">
        <f aca="false">'GEV Quarterly'!I90</f>
        <v>-108.5</v>
      </c>
      <c r="V17" s="41" t="n">
        <f aca="false">'GEV Quarterly'!J90</f>
        <v>-25</v>
      </c>
      <c r="W17" s="41" t="n">
        <f aca="false">'GEV Quarterly'!K90</f>
        <v>-37</v>
      </c>
      <c r="X17" s="62" t="n">
        <f aca="false">-'Key Drivers'!H97*SUM(X11:X16)</f>
        <v>-59.9648462182045</v>
      </c>
      <c r="Y17" s="62" t="n">
        <f aca="false">-'Key Drivers'!H97*SUM(Y11:Y16)</f>
        <v>-68.6472076624146</v>
      </c>
      <c r="Z17" s="62" t="n">
        <f aca="false">-'Key Drivers'!I97*SUM(Z11:Z16)</f>
        <v>-56.8616589019882</v>
      </c>
      <c r="AA17" s="62" t="n">
        <f aca="false">-'Key Drivers'!I97*SUM(AA11:AA16)</f>
        <v>-62.6640804879097</v>
      </c>
      <c r="AB17" s="62" t="n">
        <f aca="false">-'Key Drivers'!I97*SUM(AB11:AB16)</f>
        <v>-64.4569889794387</v>
      </c>
      <c r="AC17" s="62" t="n">
        <f aca="false">-'Key Drivers'!I97*SUM(AC11:AC16)</f>
        <v>-71.5618637248828</v>
      </c>
      <c r="AD17" s="62" t="n">
        <f aca="false">-'Key Drivers'!J97*SUM(AD11:AD16)</f>
        <v>-62.6789845876312</v>
      </c>
      <c r="AE17" s="62" t="n">
        <f aca="false">-'Key Drivers'!J97*SUM(AE11:AE16)</f>
        <v>-68.3604747219544</v>
      </c>
      <c r="AF17" s="62" t="n">
        <f aca="false">-'Key Drivers'!J97*SUM(AF11:AF16)</f>
        <v>-70.1933402929604</v>
      </c>
      <c r="AG17" s="62" t="n">
        <f aca="false">-'Key Drivers'!J97*SUM(AG11:AG16)</f>
        <v>-77.5335390434865</v>
      </c>
      <c r="AH17" s="62" t="n">
        <f aca="false">-'Key Drivers'!K97*SUM(AH11:AH16)</f>
        <v>-68.9377710365676</v>
      </c>
      <c r="AI17" s="62" t="n">
        <f aca="false">-'Key Drivers'!K97*SUM(AI11:AI16)</f>
        <v>-74.7079705124724</v>
      </c>
      <c r="AJ17" s="62" t="n">
        <f aca="false">-'Key Drivers'!K97*SUM(AJ11:AJ16)</f>
        <v>-76.3294014700213</v>
      </c>
      <c r="AK17" s="62" t="n">
        <f aca="false">-'Key Drivers'!K97*SUM(AK11:AK16)</f>
        <v>-83.9505435507602</v>
      </c>
      <c r="AL17" s="62" t="n">
        <f aca="false">-'Key Drivers'!L97*SUM(AL11:AL16)</f>
        <v>-75.4827979696282</v>
      </c>
      <c r="AM17" s="62" t="n">
        <f aca="false">-'Key Drivers'!L97*SUM(AM11:AM16)</f>
        <v>-81.1388689398186</v>
      </c>
      <c r="AN17" s="62" t="n">
        <f aca="false">-'Key Drivers'!L97*SUM(AN11:AN16)</f>
        <v>-82.6495946063568</v>
      </c>
      <c r="AO17" s="62" t="n">
        <f aca="false">-'Key Drivers'!L97*SUM(AO11:AO16)</f>
        <v>-90.2595032641633</v>
      </c>
    </row>
    <row r="18" customFormat="false" ht="15" hidden="false" customHeight="false" outlineLevel="0" collapsed="false">
      <c r="C18" s="42" t="s">
        <v>39</v>
      </c>
      <c r="D18" s="63"/>
      <c r="E18" s="63"/>
      <c r="F18" s="43" t="n">
        <f aca="false">SUM(F11:F17)</f>
        <v>34935</v>
      </c>
      <c r="G18" s="43" t="n">
        <f aca="false">SUM(G11:G17)</f>
        <v>38069</v>
      </c>
      <c r="H18" s="64" t="n">
        <f aca="false">SUM(H11:H17)</f>
        <v>46033.7987222432</v>
      </c>
      <c r="I18" s="64" t="n">
        <f aca="false">SUM(I11:I17)</f>
        <v>50853.3738267497</v>
      </c>
      <c r="J18" s="64" t="n">
        <f aca="false">SUM(J11:J17)</f>
        <v>55474.5013905605</v>
      </c>
      <c r="K18" s="64" t="n">
        <f aca="false">SUM(K11:K17)</f>
        <v>60481.2116273945</v>
      </c>
      <c r="L18" s="64" t="n">
        <f aca="false">SUM(L11:L17)</f>
        <v>65576.6221912134</v>
      </c>
      <c r="N18" s="43" t="n">
        <f aca="false">SUM(N11:N17)</f>
        <v>7260</v>
      </c>
      <c r="O18" s="43" t="n">
        <f aca="false">SUM(O11:O17)</f>
        <v>8204</v>
      </c>
      <c r="P18" s="43" t="n">
        <f aca="false">SUM(P11:P17)</f>
        <v>8913</v>
      </c>
      <c r="Q18" s="43" t="n">
        <f aca="false">SUM(Q11:Q17)</f>
        <v>10558</v>
      </c>
      <c r="R18" s="43" t="n">
        <f aca="false">SUM(R11:R17)</f>
        <v>8032</v>
      </c>
      <c r="S18" s="43" t="n">
        <f aca="false">SUM(S11:S17)</f>
        <v>9112</v>
      </c>
      <c r="T18" s="43" t="n">
        <f aca="false">SUM(T11:T17)</f>
        <v>9969</v>
      </c>
      <c r="U18" s="43" t="n">
        <f aca="false">SUM(U11:U17)</f>
        <v>10956</v>
      </c>
      <c r="V18" s="43" t="n">
        <f aca="false">SUM(V11:V17)</f>
        <v>9337</v>
      </c>
      <c r="W18" s="43" t="n">
        <f aca="false">SUM(W11:W17)</f>
        <v>11103</v>
      </c>
      <c r="X18" s="64" t="n">
        <f aca="false">SUM(X11:X17)</f>
        <v>11933.0043974227</v>
      </c>
      <c r="Y18" s="64" t="n">
        <f aca="false">SUM(Y11:Y17)</f>
        <v>13660.7943248205</v>
      </c>
      <c r="Z18" s="64" t="n">
        <f aca="false">SUM(Z11:Z17)</f>
        <v>11315.4701214957</v>
      </c>
      <c r="AA18" s="64" t="n">
        <f aca="false">SUM(AA11:AA17)</f>
        <v>12470.152017094</v>
      </c>
      <c r="AB18" s="64" t="n">
        <f aca="false">SUM(AB11:AB17)</f>
        <v>12826.9408069083</v>
      </c>
      <c r="AC18" s="64" t="n">
        <f aca="false">SUM(AC11:AC17)</f>
        <v>14240.8108812517</v>
      </c>
      <c r="AD18" s="64" t="n">
        <f aca="false">SUM(AD11:AD17)</f>
        <v>12473.1179329386</v>
      </c>
      <c r="AE18" s="64" t="n">
        <f aca="false">SUM(AE11:AE17)</f>
        <v>13603.7344696689</v>
      </c>
      <c r="AF18" s="64" t="n">
        <f aca="false">SUM(AF11:AF17)</f>
        <v>13968.4747182991</v>
      </c>
      <c r="AG18" s="64" t="n">
        <f aca="false">SUM(AG11:AG17)</f>
        <v>15429.1742696538</v>
      </c>
      <c r="AH18" s="64" t="n">
        <f aca="false">SUM(AH11:AH17)</f>
        <v>13718.616436277</v>
      </c>
      <c r="AI18" s="64" t="n">
        <f aca="false">SUM(AI11:AI17)</f>
        <v>14866.886131982</v>
      </c>
      <c r="AJ18" s="64" t="n">
        <f aca="false">SUM(AJ11:AJ17)</f>
        <v>15189.5508925342</v>
      </c>
      <c r="AK18" s="64" t="n">
        <f aca="false">SUM(AK11:AK17)</f>
        <v>16706.1581666013</v>
      </c>
      <c r="AL18" s="64" t="n">
        <f aca="false">SUM(AL11:AL17)</f>
        <v>15021.076795956</v>
      </c>
      <c r="AM18" s="64" t="n">
        <f aca="false">SUM(AM11:AM17)</f>
        <v>16146.6349190239</v>
      </c>
      <c r="AN18" s="64" t="n">
        <f aca="false">SUM(AN11:AN17)</f>
        <v>16447.269326665</v>
      </c>
      <c r="AO18" s="64" t="n">
        <f aca="false">SUM(AO11:AO17)</f>
        <v>17961.6411495685</v>
      </c>
    </row>
    <row r="19" customFormat="false" ht="15" hidden="false" customHeight="false" outlineLevel="0" collapsed="false">
      <c r="C19" s="46" t="s">
        <v>455</v>
      </c>
      <c r="D19" s="58"/>
      <c r="E19" s="58"/>
      <c r="F19" s="40"/>
      <c r="G19" s="65" t="n">
        <f aca="false">G18/F18-1</f>
        <v>0.0897094604265063</v>
      </c>
      <c r="H19" s="66" t="n">
        <f aca="false">H18/G18-1</f>
        <v>0.209220066779878</v>
      </c>
      <c r="I19" s="66" t="n">
        <f aca="false">I18/H18-1</f>
        <v>0.104696445617852</v>
      </c>
      <c r="J19" s="66" t="n">
        <f aca="false">J18/I18-1</f>
        <v>0.0908716023356551</v>
      </c>
      <c r="K19" s="66" t="n">
        <f aca="false">K18/J18-1</f>
        <v>0.090252460343627</v>
      </c>
      <c r="L19" s="66" t="n">
        <f aca="false">L18/K18-1</f>
        <v>0.084247825510013</v>
      </c>
      <c r="N19" s="40"/>
      <c r="O19" s="40"/>
      <c r="P19" s="40"/>
      <c r="Q19" s="40"/>
      <c r="R19" s="65" t="n">
        <f aca="false">R18/N18-1</f>
        <v>0.10633608815427</v>
      </c>
      <c r="S19" s="65" t="n">
        <f aca="false">S18/O18-1</f>
        <v>0.110677718186251</v>
      </c>
      <c r="T19" s="65" t="n">
        <f aca="false">T18/P18-1</f>
        <v>0.118478626725008</v>
      </c>
      <c r="U19" s="65" t="n">
        <f aca="false">U18/Q18-1</f>
        <v>0.0376965334343626</v>
      </c>
      <c r="V19" s="65" t="n">
        <f aca="false">V18/R18-1</f>
        <v>0.162475099601594</v>
      </c>
      <c r="W19" s="65" t="n">
        <f aca="false">W18/S18-1</f>
        <v>0.218503072870939</v>
      </c>
      <c r="X19" s="66" t="n">
        <f aca="false">X18/T18-1</f>
        <v>0.197011174382856</v>
      </c>
      <c r="Y19" s="66" t="n">
        <f aca="false">Y18/U18-1</f>
        <v>0.246877904784638</v>
      </c>
      <c r="Z19" s="66" t="n">
        <f aca="false">Z18/V18-1</f>
        <v>0.211895696850772</v>
      </c>
      <c r="AA19" s="66" t="n">
        <f aca="false">AA18/W18-1</f>
        <v>0.123133569043865</v>
      </c>
      <c r="AB19" s="66" t="n">
        <f aca="false">AB18/X18-1</f>
        <v>0.0749129372380595</v>
      </c>
      <c r="AC19" s="66" t="n">
        <f aca="false">AC18/Y18-1</f>
        <v>0.0424584795466347</v>
      </c>
      <c r="AD19" s="66" t="n">
        <f aca="false">AD18/Z18-1</f>
        <v>0.102306647360927</v>
      </c>
      <c r="AE19" s="66" t="n">
        <f aca="false">AE18/AA18-1</f>
        <v>0.0909036594759216</v>
      </c>
      <c r="AF19" s="66" t="n">
        <f aca="false">AF18/AB18-1</f>
        <v>0.0889950245015569</v>
      </c>
      <c r="AG19" s="66" t="n">
        <f aca="false">AG18/AC18-1</f>
        <v>0.0834477333005412</v>
      </c>
      <c r="AH19" s="66" t="n">
        <f aca="false">AH18/AD18-1</f>
        <v>0.0998546241633194</v>
      </c>
      <c r="AI19" s="66" t="n">
        <f aca="false">AI18/AE18-1</f>
        <v>0.0928533017995488</v>
      </c>
      <c r="AJ19" s="66" t="n">
        <f aca="false">AJ18/AF18-1</f>
        <v>0.087416571877778</v>
      </c>
      <c r="AK19" s="66" t="n">
        <f aca="false">AK18/AG18-1</f>
        <v>0.0827642409522238</v>
      </c>
      <c r="AL19" s="66" t="n">
        <f aca="false">AL18/AH18-1</f>
        <v>0.0949410872247196</v>
      </c>
      <c r="AM19" s="66" t="n">
        <f aca="false">AM18/AI18-1</f>
        <v>0.0860804862350331</v>
      </c>
      <c r="AN19" s="66" t="n">
        <f aca="false">AN18/AJ18-1</f>
        <v>0.0828015550314225</v>
      </c>
      <c r="AO19" s="66" t="n">
        <f aca="false">AO18/AK18-1</f>
        <v>0.0751509096494218</v>
      </c>
    </row>
    <row r="20" customFormat="false" ht="15" hidden="false" customHeight="false" outlineLevel="0" collapsed="false">
      <c r="C20" s="46" t="s">
        <v>456</v>
      </c>
      <c r="D20" s="58"/>
      <c r="E20" s="58" t="s">
        <v>457</v>
      </c>
      <c r="F20" s="51" t="n">
        <f aca="false">SUM(N20:Q20)</f>
        <v>0</v>
      </c>
      <c r="G20" s="51" t="n">
        <f aca="false">SUM(R20:U20)</f>
        <v>1</v>
      </c>
      <c r="H20" s="67" t="n">
        <f aca="false">SUM(V20:Y20)</f>
        <v>-3</v>
      </c>
      <c r="I20" s="68"/>
      <c r="J20" s="68"/>
      <c r="K20" s="68"/>
      <c r="L20" s="68"/>
      <c r="N20" s="51" t="n">
        <f aca="false">N18-'GEV Quarterly'!B12</f>
        <v>0</v>
      </c>
      <c r="O20" s="51" t="n">
        <f aca="false">O18-'GEV Quarterly'!C12</f>
        <v>0</v>
      </c>
      <c r="P20" s="51" t="n">
        <f aca="false">P18-'GEV Quarterly'!D12</f>
        <v>0</v>
      </c>
      <c r="Q20" s="51" t="n">
        <f aca="false">Q18-'GEV Quarterly'!E12</f>
        <v>0</v>
      </c>
      <c r="R20" s="51" t="n">
        <f aca="false">R18-'GEV Quarterly'!F12</f>
        <v>0</v>
      </c>
      <c r="S20" s="51" t="n">
        <f aca="false">S18-'GEV Quarterly'!G12</f>
        <v>1</v>
      </c>
      <c r="T20" s="51" t="n">
        <f aca="false">T18-'GEV Quarterly'!H12</f>
        <v>0</v>
      </c>
      <c r="U20" s="51" t="n">
        <f aca="false">U18-'GEV Quarterly'!I12</f>
        <v>0</v>
      </c>
      <c r="V20" s="51" t="n">
        <f aca="false">V18-'GEV Quarterly'!J12</f>
        <v>-2</v>
      </c>
      <c r="W20" s="51" t="n">
        <f aca="false">W18-'GEV Quarterly'!K12</f>
        <v>-1</v>
      </c>
      <c r="X20" s="68"/>
      <c r="Y20" s="68"/>
      <c r="Z20" s="68"/>
      <c r="AA20" s="68"/>
      <c r="AB20" s="68"/>
      <c r="AC20" s="68"/>
      <c r="AD20" s="68"/>
      <c r="AE20" s="68"/>
      <c r="AF20" s="68"/>
      <c r="AG20" s="68"/>
      <c r="AH20" s="68"/>
      <c r="AI20" s="68"/>
      <c r="AJ20" s="68"/>
      <c r="AK20" s="68"/>
      <c r="AL20" s="68"/>
      <c r="AM20" s="68"/>
      <c r="AN20" s="68"/>
      <c r="AO20" s="68"/>
    </row>
    <row r="22" customFormat="false" ht="15" hidden="false" customHeight="false" outlineLevel="0" collapsed="false">
      <c r="C22" s="40" t="s">
        <v>111</v>
      </c>
      <c r="D22" s="58"/>
      <c r="E22" s="58"/>
      <c r="F22" s="41" t="n">
        <f aca="false">F11+F12</f>
        <v>18233</v>
      </c>
      <c r="G22" s="41" t="n">
        <f aca="false">G11+G12</f>
        <v>19873</v>
      </c>
      <c r="H22" s="62" t="n">
        <f aca="false">H11+H12</f>
        <v>23379.7904</v>
      </c>
      <c r="I22" s="62" t="n">
        <f aca="false">I11+I12</f>
        <v>27339.1285901942</v>
      </c>
      <c r="J22" s="62" t="n">
        <f aca="false">J11+J12</f>
        <v>30072.7370089765</v>
      </c>
      <c r="K22" s="62" t="n">
        <f aca="false">K11+K12</f>
        <v>32947.3854207736</v>
      </c>
      <c r="L22" s="62" t="n">
        <f aca="false">L11+L12</f>
        <v>35875.4899026359</v>
      </c>
      <c r="N22" s="41" t="n">
        <f aca="false">N11+N12</f>
        <v>4061.5</v>
      </c>
      <c r="O22" s="41" t="n">
        <f aca="false">O11+O12</f>
        <v>4481.5</v>
      </c>
      <c r="P22" s="41" t="n">
        <f aca="false">P11+P12</f>
        <v>4232.5</v>
      </c>
      <c r="Q22" s="41" t="n">
        <f aca="false">Q11+Q12</f>
        <v>5457.5</v>
      </c>
      <c r="R22" s="41" t="n">
        <f aca="false">R11+R12</f>
        <v>4449</v>
      </c>
      <c r="S22" s="41" t="n">
        <f aca="false">S11+S12</f>
        <v>4785</v>
      </c>
      <c r="T22" s="41" t="n">
        <f aca="false">T11+T12</f>
        <v>4864.5</v>
      </c>
      <c r="U22" s="41" t="n">
        <f aca="false">U11+U12</f>
        <v>5774.5</v>
      </c>
      <c r="V22" s="41" t="n">
        <f aca="false">V11+V12</f>
        <v>4971</v>
      </c>
      <c r="W22" s="41" t="n">
        <f aca="false">W11+W12</f>
        <v>5477</v>
      </c>
      <c r="X22" s="62" t="n">
        <f aca="false">X11+X12</f>
        <v>5800.471</v>
      </c>
      <c r="Y22" s="62" t="n">
        <f aca="false">Y11+Y12</f>
        <v>7131.3194</v>
      </c>
      <c r="Z22" s="62" t="n">
        <f aca="false">Z11+Z12</f>
        <v>6204.8508816</v>
      </c>
      <c r="AA22" s="62" t="n">
        <f aca="false">AA11+AA12</f>
        <v>6795.39798019891</v>
      </c>
      <c r="AB22" s="62" t="n">
        <f aca="false">AB11+AB12</f>
        <v>6698.78558257975</v>
      </c>
      <c r="AC22" s="62" t="n">
        <f aca="false">AC11+AC12</f>
        <v>7640.09414581549</v>
      </c>
      <c r="AD22" s="62" t="n">
        <f aca="false">AD11+AD12</f>
        <v>6834.21233433354</v>
      </c>
      <c r="AE22" s="62" t="n">
        <f aca="false">AE11+AE12</f>
        <v>7447.61035165366</v>
      </c>
      <c r="AF22" s="62" t="n">
        <f aca="false">AF11+AF12</f>
        <v>7405.55891412337</v>
      </c>
      <c r="AG22" s="62" t="n">
        <f aca="false">AG11+AG12</f>
        <v>8385.35540886594</v>
      </c>
      <c r="AH22" s="62" t="n">
        <f aca="false">AH11+AH12</f>
        <v>7498.70113036864</v>
      </c>
      <c r="AI22" s="62" t="n">
        <f aca="false">AI11+AI12</f>
        <v>8164.97892379019</v>
      </c>
      <c r="AJ22" s="62" t="n">
        <f aca="false">AJ11+AJ12</f>
        <v>8118.21292567181</v>
      </c>
      <c r="AK22" s="62" t="n">
        <f aca="false">AK11+AK12</f>
        <v>9165.49244094294</v>
      </c>
      <c r="AL22" s="62" t="n">
        <f aca="false">AL11+AL12</f>
        <v>8240.50421174382</v>
      </c>
      <c r="AM22" s="62" t="n">
        <f aca="false">AM11+AM12</f>
        <v>8896.77013741105</v>
      </c>
      <c r="AN22" s="62" t="n">
        <f aca="false">AN11+AN12</f>
        <v>8843.4668481187</v>
      </c>
      <c r="AO22" s="62" t="n">
        <f aca="false">AO11+AO12</f>
        <v>9894.74870536232</v>
      </c>
    </row>
    <row r="23" customFormat="false" ht="15" hidden="false" customHeight="false" outlineLevel="0" collapsed="false">
      <c r="C23" s="40" t="s">
        <v>112</v>
      </c>
      <c r="D23" s="58"/>
      <c r="E23" s="58"/>
      <c r="F23" s="41" t="n">
        <f aca="false">F13+F14</f>
        <v>7394</v>
      </c>
      <c r="G23" s="41" t="n">
        <f aca="false">G13+G14</f>
        <v>9486</v>
      </c>
      <c r="H23" s="62" t="n">
        <f aca="false">H13+H14</f>
        <v>14812.8421152542</v>
      </c>
      <c r="I23" s="62" t="n">
        <f aca="false">I13+I14</f>
        <v>16875.495222128</v>
      </c>
      <c r="J23" s="62" t="n">
        <f aca="false">J13+J14</f>
        <v>19238.4117307952</v>
      </c>
      <c r="K23" s="62" t="n">
        <f aca="false">K13+K14</f>
        <v>21510.6206461751</v>
      </c>
      <c r="L23" s="62" t="n">
        <f aca="false">L13+L14</f>
        <v>23587.5155163917</v>
      </c>
      <c r="N23" s="41" t="n">
        <f aca="false">N13+N14</f>
        <v>1612</v>
      </c>
      <c r="O23" s="41" t="n">
        <f aca="false">O13+O14</f>
        <v>1751</v>
      </c>
      <c r="P23" s="41" t="n">
        <f aca="false">P13+P14</f>
        <v>1889</v>
      </c>
      <c r="Q23" s="41" t="n">
        <f aca="false">Q13+Q14</f>
        <v>2142</v>
      </c>
      <c r="R23" s="41" t="n">
        <f aca="false">R13+R14</f>
        <v>1840</v>
      </c>
      <c r="S23" s="41" t="n">
        <f aca="false">S13+S14</f>
        <v>2162</v>
      </c>
      <c r="T23" s="41" t="n">
        <f aca="false">T13+T14</f>
        <v>2562</v>
      </c>
      <c r="U23" s="41" t="n">
        <f aca="false">U13+U14</f>
        <v>2922</v>
      </c>
      <c r="V23" s="41" t="n">
        <f aca="false">V13+V14</f>
        <v>2959</v>
      </c>
      <c r="W23" s="41" t="n">
        <f aca="false">W13+W14</f>
        <v>3637</v>
      </c>
      <c r="X23" s="62" t="n">
        <f aca="false">X13+X14</f>
        <v>3900.84569491525</v>
      </c>
      <c r="Y23" s="62" t="n">
        <f aca="false">Y13+Y14</f>
        <v>4315.99642033898</v>
      </c>
      <c r="Z23" s="62" t="n">
        <f aca="false">Z13+Z14</f>
        <v>3809.24266962373</v>
      </c>
      <c r="AA23" s="62" t="n">
        <f aca="false">AA13+AA14</f>
        <v>4023.15381181781</v>
      </c>
      <c r="AB23" s="62" t="n">
        <f aca="false">AB13+AB14</f>
        <v>4292.88183135147</v>
      </c>
      <c r="AC23" s="62" t="n">
        <f aca="false">AC13+AC14</f>
        <v>4750.21690933498</v>
      </c>
      <c r="AD23" s="62" t="n">
        <f aca="false">AD13+AD14</f>
        <v>4421.22000909445</v>
      </c>
      <c r="AE23" s="62" t="n">
        <f aca="false">AE13+AE14</f>
        <v>4616.95342727288</v>
      </c>
      <c r="AF23" s="62" t="n">
        <f aca="false">AF13+AF14</f>
        <v>4874.08818763828</v>
      </c>
      <c r="AG23" s="62" t="n">
        <f aca="false">AG13+AG14</f>
        <v>5326.15010678962</v>
      </c>
      <c r="AH23" s="62" t="n">
        <f aca="false">AH13+AH14</f>
        <v>5025.56280180206</v>
      </c>
      <c r="AI23" s="62" t="n">
        <f aca="false">AI13+AI14</f>
        <v>5194.83839318055</v>
      </c>
      <c r="AJ23" s="62" t="n">
        <f aca="false">AJ13+AJ14</f>
        <v>5428.35117642776</v>
      </c>
      <c r="AK23" s="62" t="n">
        <f aca="false">AK13+AK14</f>
        <v>5861.86827476473</v>
      </c>
      <c r="AL23" s="62" t="n">
        <f aca="false">AL13+AL14</f>
        <v>5568.14997532757</v>
      </c>
      <c r="AM23" s="62" t="n">
        <f aca="false">AM13+AM14</f>
        <v>5719.48499685368</v>
      </c>
      <c r="AN23" s="62" t="n">
        <f aca="false">AN13+AN14</f>
        <v>5937.69568972892</v>
      </c>
      <c r="AO23" s="62" t="n">
        <f aca="false">AO13+AO14</f>
        <v>6362.18485448151</v>
      </c>
    </row>
    <row r="24" customFormat="false" ht="15" hidden="false" customHeight="false" outlineLevel="0" collapsed="false">
      <c r="C24" s="40" t="s">
        <v>113</v>
      </c>
      <c r="D24" s="58"/>
      <c r="E24" s="58"/>
      <c r="F24" s="41" t="n">
        <f aca="false">F15+F16</f>
        <v>9701</v>
      </c>
      <c r="G24" s="41" t="n">
        <f aca="false">G15+G16</f>
        <v>9110</v>
      </c>
      <c r="H24" s="62" t="n">
        <f aca="false">H15+H16</f>
        <v>8031.77826086957</v>
      </c>
      <c r="I24" s="62" t="n">
        <f aca="false">I15+I16</f>
        <v>6894.29460652174</v>
      </c>
      <c r="J24" s="62" t="n">
        <f aca="false">J15+J16</f>
        <v>6442.11898943478</v>
      </c>
      <c r="K24" s="62" t="n">
        <f aca="false">K15+K16</f>
        <v>6327.13124701565</v>
      </c>
      <c r="L24" s="62" t="n">
        <f aca="false">L15+L16</f>
        <v>6443.14753696581</v>
      </c>
      <c r="N24" s="41" t="n">
        <f aca="false">N15+N16</f>
        <v>1639</v>
      </c>
      <c r="O24" s="41" t="n">
        <f aca="false">O15+O16</f>
        <v>2062</v>
      </c>
      <c r="P24" s="41" t="n">
        <f aca="false">P15+P16</f>
        <v>2891</v>
      </c>
      <c r="Q24" s="41" t="n">
        <f aca="false">Q15+Q16</f>
        <v>3109</v>
      </c>
      <c r="R24" s="41" t="n">
        <f aca="false">R15+R16</f>
        <v>1850</v>
      </c>
      <c r="S24" s="41" t="n">
        <f aca="false">S15+S16</f>
        <v>2245</v>
      </c>
      <c r="T24" s="41" t="n">
        <f aca="false">T15+T16</f>
        <v>2647</v>
      </c>
      <c r="U24" s="41" t="n">
        <f aca="false">U15+U16</f>
        <v>2368</v>
      </c>
      <c r="V24" s="41" t="n">
        <f aca="false">V15+V16</f>
        <v>1432</v>
      </c>
      <c r="W24" s="41" t="n">
        <f aca="false">W15+W16</f>
        <v>2026</v>
      </c>
      <c r="X24" s="62" t="n">
        <f aca="false">X15+X16</f>
        <v>2291.65254872564</v>
      </c>
      <c r="Y24" s="62" t="n">
        <f aca="false">Y15+Y16</f>
        <v>2282.12571214393</v>
      </c>
      <c r="Z24" s="62" t="n">
        <f aca="false">Z15+Z16</f>
        <v>1358.23822917391</v>
      </c>
      <c r="AA24" s="62" t="n">
        <f aca="false">AA15+AA16</f>
        <v>1714.26430556522</v>
      </c>
      <c r="AB24" s="62" t="n">
        <f aca="false">AB15+AB16</f>
        <v>1899.73038195652</v>
      </c>
      <c r="AC24" s="62" t="n">
        <f aca="false">AC15+AC16</f>
        <v>1922.06168982609</v>
      </c>
      <c r="AD24" s="62" t="n">
        <f aca="false">AD15+AD16</f>
        <v>1280.36457409826</v>
      </c>
      <c r="AE24" s="62" t="n">
        <f aca="false">AE15+AE16</f>
        <v>1607.53116546435</v>
      </c>
      <c r="AF24" s="62" t="n">
        <f aca="false">AF15+AF16</f>
        <v>1759.02095683044</v>
      </c>
      <c r="AG24" s="62" t="n">
        <f aca="false">AG15+AG16</f>
        <v>1795.20229304174</v>
      </c>
      <c r="AH24" s="62" t="n">
        <f aca="false">AH15+AH16</f>
        <v>1263.29027514282</v>
      </c>
      <c r="AI24" s="62" t="n">
        <f aca="false">AI15+AI16</f>
        <v>1581.77678552376</v>
      </c>
      <c r="AJ24" s="62" t="n">
        <f aca="false">AJ15+AJ16</f>
        <v>1719.3161919047</v>
      </c>
      <c r="AK24" s="62" t="n">
        <f aca="false">AK15+AK16</f>
        <v>1762.74799444438</v>
      </c>
      <c r="AL24" s="62" t="n">
        <f aca="false">AL15+AL16</f>
        <v>1287.90540685425</v>
      </c>
      <c r="AM24" s="62" t="n">
        <f aca="false">AM15+AM16</f>
        <v>1611.51865369899</v>
      </c>
      <c r="AN24" s="62" t="n">
        <f aca="false">AN15+AN16</f>
        <v>1748.75638342374</v>
      </c>
      <c r="AO24" s="62" t="n">
        <f aca="false">AO15+AO16</f>
        <v>1794.96709298883</v>
      </c>
    </row>
    <row r="25" customFormat="false" ht="15" hidden="false" customHeight="false" outlineLevel="0" collapsed="false">
      <c r="C25" s="46" t="s">
        <v>458</v>
      </c>
      <c r="D25" s="58"/>
      <c r="E25" s="58"/>
      <c r="F25" s="40"/>
      <c r="G25" s="65" t="n">
        <f aca="false">G22/F22-1</f>
        <v>0.0899467997586794</v>
      </c>
      <c r="H25" s="66" t="n">
        <f aca="false">H22/G22-1</f>
        <v>0.176460041262014</v>
      </c>
      <c r="I25" s="66" t="n">
        <f aca="false">I22/H22-1</f>
        <v>0.169348746180126</v>
      </c>
      <c r="J25" s="66" t="n">
        <f aca="false">J22/I22-1</f>
        <v>0.099988864303554</v>
      </c>
      <c r="K25" s="66" t="n">
        <f aca="false">K22/J22-1</f>
        <v>0.095589849734629</v>
      </c>
      <c r="L25" s="66" t="n">
        <f aca="false">L22/K22-1</f>
        <v>0.0888721349044019</v>
      </c>
      <c r="N25" s="40"/>
      <c r="O25" s="40"/>
      <c r="P25" s="40"/>
      <c r="Q25" s="40"/>
      <c r="R25" s="65" t="n">
        <f aca="false">R22/N22-1</f>
        <v>0.0954081004554968</v>
      </c>
      <c r="S25" s="65" t="n">
        <f aca="false">S22/O22-1</f>
        <v>0.0677228606493361</v>
      </c>
      <c r="T25" s="65" t="n">
        <f aca="false">T22/P22-1</f>
        <v>0.149320732427643</v>
      </c>
      <c r="U25" s="65" t="n">
        <f aca="false">U22/Q22-1</f>
        <v>0.0580852038479158</v>
      </c>
      <c r="V25" s="65" t="n">
        <f aca="false">V22/R22-1</f>
        <v>0.117329737019555</v>
      </c>
      <c r="W25" s="65" t="n">
        <f aca="false">W22/S22-1</f>
        <v>0.144618599791014</v>
      </c>
      <c r="X25" s="66" t="n">
        <f aca="false">X22/T22-1</f>
        <v>0.192408469524104</v>
      </c>
      <c r="Y25" s="66" t="n">
        <f aca="false">Y22/U22-1</f>
        <v>0.234967425751147</v>
      </c>
      <c r="Z25" s="66" t="n">
        <f aca="false">Z22/V22-1</f>
        <v>0.248209793120097</v>
      </c>
      <c r="AA25" s="66" t="n">
        <f aca="false">AA22/W22-1</f>
        <v>0.240715351506101</v>
      </c>
      <c r="AB25" s="66" t="n">
        <f aca="false">AB22/X22-1</f>
        <v>0.154869248131702</v>
      </c>
      <c r="AC25" s="66" t="n">
        <f aca="false">AC22/Y22-1</f>
        <v>0.0713437047589667</v>
      </c>
      <c r="AD25" s="66" t="n">
        <f aca="false">AD22/Z22-1</f>
        <v>0.10143055244081</v>
      </c>
      <c r="AE25" s="66" t="n">
        <f aca="false">AE22/AA22-1</f>
        <v>0.0959785392048003</v>
      </c>
      <c r="AF25" s="66" t="n">
        <f aca="false">AF22/AB22-1</f>
        <v>0.105507680881979</v>
      </c>
      <c r="AG25" s="66" t="n">
        <f aca="false">AG22/AC22-1</f>
        <v>0.0975460837035138</v>
      </c>
      <c r="AH25" s="66" t="n">
        <f aca="false">AH22/AD22-1</f>
        <v>0.097229755753544</v>
      </c>
      <c r="AI25" s="66" t="n">
        <f aca="false">AI22/AE22-1</f>
        <v>0.0963219795698962</v>
      </c>
      <c r="AJ25" s="66" t="n">
        <f aca="false">AJ22/AF22-1</f>
        <v>0.0962323060031718</v>
      </c>
      <c r="AK25" s="66" t="n">
        <f aca="false">AK22/AG22-1</f>
        <v>0.0930356549052356</v>
      </c>
      <c r="AL25" s="66" t="n">
        <f aca="false">AL22/AH22-1</f>
        <v>0.0989242094702214</v>
      </c>
      <c r="AM25" s="66" t="n">
        <f aca="false">AM22/AI22-1</f>
        <v>0.0896256096251096</v>
      </c>
      <c r="AN25" s="66" t="n">
        <f aca="false">AN22/AJ22-1</f>
        <v>0.08933664700435</v>
      </c>
      <c r="AO25" s="66" t="n">
        <f aca="false">AO22/AK22-1</f>
        <v>0.079565420965461</v>
      </c>
    </row>
    <row r="26" customFormat="false" ht="15" hidden="false" customHeight="false" outlineLevel="0" collapsed="false">
      <c r="C26" s="46" t="s">
        <v>459</v>
      </c>
      <c r="D26" s="58"/>
      <c r="E26" s="58"/>
      <c r="F26" s="40"/>
      <c r="G26" s="65" t="n">
        <f aca="false">G23/F23-1</f>
        <v>0.282932107113876</v>
      </c>
      <c r="H26" s="66" t="n">
        <f aca="false">H23/G23-1</f>
        <v>0.561547766735636</v>
      </c>
      <c r="I26" s="66" t="n">
        <f aca="false">I23/H23-1</f>
        <v>0.139247626540867</v>
      </c>
      <c r="J26" s="66" t="n">
        <f aca="false">J23/I23-1</f>
        <v>0.140020572881847</v>
      </c>
      <c r="K26" s="66" t="n">
        <f aca="false">K23/J23-1</f>
        <v>0.118107926328592</v>
      </c>
      <c r="L26" s="66" t="n">
        <f aca="false">L23/K23-1</f>
        <v>0.0965520662736374</v>
      </c>
      <c r="N26" s="40"/>
      <c r="O26" s="40"/>
      <c r="P26" s="40"/>
      <c r="Q26" s="40"/>
      <c r="R26" s="65" t="n">
        <f aca="false">R23/N23-1</f>
        <v>0.141439205955335</v>
      </c>
      <c r="S26" s="65" t="n">
        <f aca="false">S23/O23-1</f>
        <v>0.23472301541976</v>
      </c>
      <c r="T26" s="65" t="n">
        <f aca="false">T23/P23-1</f>
        <v>0.356273160402329</v>
      </c>
      <c r="U26" s="65" t="n">
        <f aca="false">U23/Q23-1</f>
        <v>0.364145658263305</v>
      </c>
      <c r="V26" s="65" t="n">
        <f aca="false">V23/R23-1</f>
        <v>0.608152173913044</v>
      </c>
      <c r="W26" s="65" t="n">
        <f aca="false">W23/S23-1</f>
        <v>0.682238667900093</v>
      </c>
      <c r="X26" s="66" t="n">
        <f aca="false">X23/T23-1</f>
        <v>0.522578335251856</v>
      </c>
      <c r="Y26" s="66" t="n">
        <f aca="false">Y23/U23-1</f>
        <v>0.477069274585552</v>
      </c>
      <c r="Z26" s="66" t="n">
        <f aca="false">Z23/V23-1</f>
        <v>0.287341219879598</v>
      </c>
      <c r="AA26" s="66" t="n">
        <f aca="false">AA23/W23-1</f>
        <v>0.106173717849274</v>
      </c>
      <c r="AB26" s="66" t="n">
        <f aca="false">AB23/X23-1</f>
        <v>0.100500293294666</v>
      </c>
      <c r="AC26" s="66" t="n">
        <f aca="false">AC23/Y23-1</f>
        <v>0.100607240300234</v>
      </c>
      <c r="AD26" s="66" t="n">
        <f aca="false">AD23/Z23-1</f>
        <v>0.160655907892361</v>
      </c>
      <c r="AE26" s="66" t="n">
        <f aca="false">AE23/AA23-1</f>
        <v>0.147595553943478</v>
      </c>
      <c r="AF26" s="66" t="n">
        <f aca="false">AF23/AB23-1</f>
        <v>0.135388389226599</v>
      </c>
      <c r="AG26" s="66" t="n">
        <f aca="false">AG23/AC23-1</f>
        <v>0.121243557598988</v>
      </c>
      <c r="AH26" s="66" t="n">
        <f aca="false">AH23/AD23-1</f>
        <v>0.136691409037434</v>
      </c>
      <c r="AI26" s="66" t="n">
        <f aca="false">AI23/AE23-1</f>
        <v>0.125165864245898</v>
      </c>
      <c r="AJ26" s="66" t="n">
        <f aca="false">AJ23/AF23-1</f>
        <v>0.113716241366993</v>
      </c>
      <c r="AK26" s="66" t="n">
        <f aca="false">AK23/AG23-1</f>
        <v>0.100582626706707</v>
      </c>
      <c r="AL26" s="66" t="n">
        <f aca="false">AL23/AH23-1</f>
        <v>0.107965454800593</v>
      </c>
      <c r="AM26" s="66" t="n">
        <f aca="false">AM23/AI23-1</f>
        <v>0.100993825787121</v>
      </c>
      <c r="AN26" s="66" t="n">
        <f aca="false">AN23/AJ23-1</f>
        <v>0.0938304278310065</v>
      </c>
      <c r="AO26" s="66" t="n">
        <f aca="false">AO23/AK23-1</f>
        <v>0.0853510444563623</v>
      </c>
    </row>
    <row r="27" customFormat="false" ht="15" hidden="false" customHeight="false" outlineLevel="0" collapsed="false">
      <c r="C27" s="46" t="s">
        <v>460</v>
      </c>
      <c r="D27" s="58"/>
      <c r="E27" s="58"/>
      <c r="F27" s="40"/>
      <c r="G27" s="65" t="n">
        <f aca="false">G24/F24-1</f>
        <v>-0.0609215544789197</v>
      </c>
      <c r="H27" s="66" t="n">
        <f aca="false">H24/G24-1</f>
        <v>-0.118355844031881</v>
      </c>
      <c r="I27" s="66" t="n">
        <f aca="false">I24/H24-1</f>
        <v>-0.141622890647964</v>
      </c>
      <c r="J27" s="66" t="n">
        <f aca="false">J24/I24-1</f>
        <v>-0.0655869299027656</v>
      </c>
      <c r="K27" s="66" t="n">
        <f aca="false">K24/J24-1</f>
        <v>-0.0178493664286105</v>
      </c>
      <c r="L27" s="66" t="n">
        <f aca="false">L24/K24-1</f>
        <v>0.0183363179015574</v>
      </c>
      <c r="N27" s="40"/>
      <c r="O27" s="40"/>
      <c r="P27" s="40"/>
      <c r="Q27" s="40"/>
      <c r="R27" s="65" t="n">
        <f aca="false">R24/N24-1</f>
        <v>0.128737034777303</v>
      </c>
      <c r="S27" s="65" t="n">
        <f aca="false">S24/O24-1</f>
        <v>0.0887487875848692</v>
      </c>
      <c r="T27" s="65" t="n">
        <f aca="false">T24/P24-1</f>
        <v>-0.084399861639571</v>
      </c>
      <c r="U27" s="65" t="n">
        <f aca="false">U24/Q24-1</f>
        <v>-0.238340302348022</v>
      </c>
      <c r="V27" s="65" t="n">
        <f aca="false">V24/R24-1</f>
        <v>-0.225945945945946</v>
      </c>
      <c r="W27" s="65" t="n">
        <f aca="false">W24/S24-1</f>
        <v>-0.0975501113585746</v>
      </c>
      <c r="X27" s="66" t="n">
        <f aca="false">X24/T24-1</f>
        <v>-0.134245353711509</v>
      </c>
      <c r="Y27" s="66" t="n">
        <f aca="false">Y24/U24-1</f>
        <v>-0.0362644796689493</v>
      </c>
      <c r="Z27" s="66" t="n">
        <f aca="false">Z24/V24-1</f>
        <v>-0.051509616498664</v>
      </c>
      <c r="AA27" s="66" t="n">
        <f aca="false">AA24/W24-1</f>
        <v>-0.153867568822696</v>
      </c>
      <c r="AB27" s="66" t="n">
        <f aca="false">AB24/X24-1</f>
        <v>-0.171021635451264</v>
      </c>
      <c r="AC27" s="66" t="n">
        <f aca="false">AC24/Y24-1</f>
        <v>-0.157775717788825</v>
      </c>
      <c r="AD27" s="66" t="n">
        <f aca="false">AD24/Z24-1</f>
        <v>-0.0573343124961335</v>
      </c>
      <c r="AE27" s="66" t="n">
        <f aca="false">AE24/AA24-1</f>
        <v>-0.0622617759433999</v>
      </c>
      <c r="AF27" s="66" t="n">
        <f aca="false">AF24/AB24-1</f>
        <v>-0.0740681027489654</v>
      </c>
      <c r="AG27" s="66" t="n">
        <f aca="false">AG24/AC24-1</f>
        <v>-0.0660017300463579</v>
      </c>
      <c r="AH27" s="66" t="n">
        <f aca="false">AH24/AD24-1</f>
        <v>-0.0133354977955937</v>
      </c>
      <c r="AI27" s="66" t="n">
        <f aca="false">AI24/AE24-1</f>
        <v>-0.0160210766011195</v>
      </c>
      <c r="AJ27" s="66" t="n">
        <f aca="false">AJ24/AF24-1</f>
        <v>-0.0225720818001413</v>
      </c>
      <c r="AK27" s="66" t="n">
        <f aca="false">AK24/AG24-1</f>
        <v>-0.0180783517953104</v>
      </c>
      <c r="AL27" s="66" t="n">
        <f aca="false">AL24/AH24-1</f>
        <v>0.019484937227626</v>
      </c>
      <c r="AM27" s="66" t="n">
        <f aca="false">AM24/AI24-1</f>
        <v>0.018802822526814</v>
      </c>
      <c r="AN27" s="66" t="n">
        <f aca="false">AN24/AJ24-1</f>
        <v>0.0171231979653681</v>
      </c>
      <c r="AO27" s="66" t="n">
        <f aca="false">AO24/AK24-1</f>
        <v>0.0182777678068493</v>
      </c>
    </row>
    <row r="28" customFormat="false" ht="15" hidden="false" customHeight="false" outlineLevel="0" collapsed="false">
      <c r="C28" s="46" t="s">
        <v>461</v>
      </c>
      <c r="D28" s="58"/>
      <c r="E28" s="58"/>
      <c r="F28" s="65" t="n">
        <f aca="false">(F11+F13+F15)/F18</f>
        <v>0.552139687991985</v>
      </c>
      <c r="G28" s="65" t="n">
        <f aca="false">(G11+G13+G15)/G18</f>
        <v>0.55990438414458</v>
      </c>
      <c r="H28" s="66" t="n">
        <f aca="false">(H11+H13+H15)/H18</f>
        <v>0.59999395102664</v>
      </c>
      <c r="I28" s="66" t="n">
        <f aca="false">(I11+I13+I15)/I18</f>
        <v>0.621358781946199</v>
      </c>
      <c r="J28" s="66" t="n">
        <f aca="false">(J11+J13+J15)/J18</f>
        <v>0.6379577919961</v>
      </c>
      <c r="K28" s="66" t="n">
        <f aca="false">(K11+K13+K15)/K18</f>
        <v>0.654902470681054</v>
      </c>
      <c r="L28" s="66" t="n">
        <f aca="false">(L11+L13+L15)/L18</f>
        <v>0.66920787974632</v>
      </c>
      <c r="N28" s="65" t="n">
        <f aca="false">(N11+N13+N15)/N18</f>
        <v>0.504545454545455</v>
      </c>
      <c r="O28" s="65" t="n">
        <f aca="false">(O11+O13+O15)/O18</f>
        <v>0.516699171136031</v>
      </c>
      <c r="P28" s="65" t="n">
        <f aca="false">(P11+P13+P15)/P18</f>
        <v>0.602602939526534</v>
      </c>
      <c r="Q28" s="65" t="n">
        <f aca="false">(Q11+Q13+Q15)/Q18</f>
        <v>0.569804887289259</v>
      </c>
      <c r="R28" s="65" t="n">
        <f aca="false">(R11+R13+R15)/R18</f>
        <v>0.534611553784861</v>
      </c>
      <c r="S28" s="65" t="n">
        <f aca="false">(S11+S13+S15)/S18</f>
        <v>0.545873573309921</v>
      </c>
      <c r="T28" s="65" t="n">
        <f aca="false">(T11+T13+T15)/T18</f>
        <v>0.600060186578393</v>
      </c>
      <c r="U28" s="65" t="n">
        <f aca="false">(U11+U13+U15)/U18</f>
        <v>0.553577948156261</v>
      </c>
      <c r="V28" s="65" t="n">
        <f aca="false">(V11+V13+V15)/V18</f>
        <v>0.564956624183357</v>
      </c>
      <c r="W28" s="65" t="n">
        <f aca="false">(W11+W13+W15)/W18</f>
        <v>0.584526704494281</v>
      </c>
      <c r="X28" s="66" t="n">
        <f aca="false">(X11+X13+X15)/X18</f>
        <v>0.632778971008488</v>
      </c>
      <c r="Y28" s="66" t="n">
        <f aca="false">(Y11+Y13+Y15)/Y18</f>
        <v>0.607874354523819</v>
      </c>
      <c r="Z28" s="66" t="n">
        <f aca="false">(Z11+Z13+Z15)/Z18</f>
        <v>0.626258715219954</v>
      </c>
      <c r="AA28" s="66" t="n">
        <f aca="false">(AA11+AA13+AA15)/AA18</f>
        <v>0.613996211681002</v>
      </c>
      <c r="AB28" s="66" t="n">
        <f aca="false">(AB11+AB13+AB15)/AB18</f>
        <v>0.641839092408825</v>
      </c>
      <c r="AC28" s="66" t="n">
        <f aca="false">(AC11+AC13+AC15)/AC18</f>
        <v>0.60546555718453</v>
      </c>
      <c r="AD28" s="66" t="n">
        <f aca="false">(AD11+AD13+AD15)/AD18</f>
        <v>0.646436349024932</v>
      </c>
      <c r="AE28" s="66" t="n">
        <f aca="false">(AE11+AE13+AE15)/AE18</f>
        <v>0.630978079109757</v>
      </c>
      <c r="AF28" s="66" t="n">
        <f aca="false">(AF11+AF13+AF15)/AF18</f>
        <v>0.656925513694128</v>
      </c>
      <c r="AG28" s="66" t="n">
        <f aca="false">(AG11+AG13+AG15)/AG18</f>
        <v>0.620085544452274</v>
      </c>
      <c r="AH28" s="66" t="n">
        <f aca="false">(AH11+AH13+AH15)/AH18</f>
        <v>0.666006846372118</v>
      </c>
      <c r="AI28" s="66" t="n">
        <f aca="false">(AI11+AI13+AI15)/AI18</f>
        <v>0.649146663653626</v>
      </c>
      <c r="AJ28" s="66" t="n">
        <f aca="false">(AJ11+AJ13+AJ15)/AJ18</f>
        <v>0.67209791061841</v>
      </c>
      <c r="AK28" s="66" t="n">
        <f aca="false">(AK11+AK13+AK15)/AK18</f>
        <v>0.6352715806839</v>
      </c>
      <c r="AL28" s="66" t="n">
        <f aca="false">(AL11+AL13+AL15)/AL18</f>
        <v>0.683063718917138</v>
      </c>
      <c r="AM28" s="66" t="n">
        <f aca="false">(AM11+AM13+AM15)/AM18</f>
        <v>0.664313646733654</v>
      </c>
      <c r="AN28" s="66" t="n">
        <f aca="false">(AN11+AN13+AN15)/AN18</f>
        <v>0.685244585602019</v>
      </c>
      <c r="AO28" s="66" t="n">
        <f aca="false">(AO11+AO13+AO15)/AO18</f>
        <v>0.647335476905015</v>
      </c>
    </row>
    <row r="29" customFormat="false" ht="15" hidden="false" customHeight="false" outlineLevel="0" collapsed="false">
      <c r="C29" s="46" t="s">
        <v>462</v>
      </c>
      <c r="D29" s="58"/>
      <c r="E29" s="58"/>
      <c r="F29" s="65" t="n">
        <f aca="false">(F11+F13)/F18</f>
        <v>0.321797624159153</v>
      </c>
      <c r="G29" s="65" t="n">
        <f aca="false">(G11+G13)/G18</f>
        <v>0.369434447976044</v>
      </c>
      <c r="H29" s="66" t="n">
        <f aca="false">(H11+H13)/H18</f>
        <v>0.477442077892964</v>
      </c>
      <c r="I29" s="66" t="n">
        <f aca="false">(I11+I13)/I18</f>
        <v>0.53466965446489</v>
      </c>
      <c r="J29" s="66" t="n">
        <f aca="false">(J11+J13)/J18</f>
        <v>0.567985406627436</v>
      </c>
      <c r="K29" s="66" t="n">
        <f aca="false">(K11+K13)/K18</f>
        <v>0.593893733029635</v>
      </c>
      <c r="L29" s="66" t="n">
        <f aca="false">(L11+L13)/L18</f>
        <v>0.612376937983583</v>
      </c>
      <c r="N29" s="65" t="n">
        <f aca="false">(N11+N13)/N18</f>
        <v>0.334848484848485</v>
      </c>
      <c r="O29" s="65" t="n">
        <f aca="false">(O11+O13)/O18</f>
        <v>0.313383715260848</v>
      </c>
      <c r="P29" s="65" t="n">
        <f aca="false">(P11+P13)/P18</f>
        <v>0.3227869404241</v>
      </c>
      <c r="Q29" s="65" t="n">
        <f aca="false">(Q11+Q13)/Q18</f>
        <v>0.318526236029551</v>
      </c>
      <c r="R29" s="65" t="n">
        <f aca="false">(R11+R13)/R18</f>
        <v>0.358814741035857</v>
      </c>
      <c r="S29" s="65" t="n">
        <f aca="false">(S11+S13)/S18</f>
        <v>0.348661106233538</v>
      </c>
      <c r="T29" s="65" t="n">
        <f aca="false">(T11+T13)/T18</f>
        <v>0.379075132912027</v>
      </c>
      <c r="U29" s="65" t="n">
        <f aca="false">(U11+U13)/U18</f>
        <v>0.385724717050018</v>
      </c>
      <c r="V29" s="65" t="n">
        <f aca="false">(V11+V13)/V18</f>
        <v>0.469744029131413</v>
      </c>
      <c r="W29" s="65" t="n">
        <f aca="false">(W11+W13)/W18</f>
        <v>0.458884986039809</v>
      </c>
      <c r="X29" s="66" t="n">
        <f aca="false">(X11+X13)/X18</f>
        <v>0.487245416265081</v>
      </c>
      <c r="Y29" s="66" t="n">
        <f aca="false">(Y11+Y13)/Y18</f>
        <v>0.48922270999983</v>
      </c>
      <c r="Z29" s="66" t="n">
        <f aca="false">(Z11+Z13)/Z18</f>
        <v>0.556131869348434</v>
      </c>
      <c r="AA29" s="66" t="n">
        <f aca="false">(AA11+AA13)/AA18</f>
        <v>0.529151672166577</v>
      </c>
      <c r="AB29" s="66" t="n">
        <f aca="false">(AB11+AB13)/AB18</f>
        <v>0.538733418042242</v>
      </c>
      <c r="AC29" s="66" t="n">
        <f aca="false">(AC11+AC13)/AC18</f>
        <v>0.518787790018114</v>
      </c>
      <c r="AD29" s="66" t="n">
        <f aca="false">(AD11+AD13)/AD18</f>
        <v>0.590419643510335</v>
      </c>
      <c r="AE29" s="66" t="n">
        <f aca="false">(AE11+AE13)/AE18</f>
        <v>0.562496592092977</v>
      </c>
      <c r="AF29" s="66" t="n">
        <f aca="false">(AF11+AF13)/AF18</f>
        <v>0.57355886269501</v>
      </c>
      <c r="AG29" s="66" t="n">
        <f aca="false">(AG11+AG13)/AG18</f>
        <v>0.549642935272636</v>
      </c>
      <c r="AH29" s="66" t="n">
        <f aca="false">(AH11+AH13)/AH18</f>
        <v>0.617592428618846</v>
      </c>
      <c r="AI29" s="66" t="n">
        <f aca="false">(AI11+AI13)/AI18</f>
        <v>0.589579935176525</v>
      </c>
      <c r="AJ29" s="66" t="n">
        <f aca="false">(AJ11+AJ13)/AJ18</f>
        <v>0.599221186366557</v>
      </c>
      <c r="AK29" s="66" t="n">
        <f aca="false">(AK11+AK13)/AK18</f>
        <v>0.573428094339453</v>
      </c>
      <c r="AL29" s="66" t="n">
        <f aca="false">(AL11+AL13)/AL18</f>
        <v>0.638405095269408</v>
      </c>
      <c r="AM29" s="66" t="n">
        <f aca="false">(AM11+AM13)/AM18</f>
        <v>0.608919597651316</v>
      </c>
      <c r="AN29" s="66" t="n">
        <f aca="false">(AN11+AN13)/AN18</f>
        <v>0.617267687016724</v>
      </c>
      <c r="AO29" s="66" t="n">
        <f aca="false">(AO11+AO13)/AO18</f>
        <v>0.589239519726074</v>
      </c>
    </row>
    <row r="31" customFormat="false" ht="15" hidden="false" customHeight="false" outlineLevel="0" collapsed="false">
      <c r="C31" s="61" t="s">
        <v>463</v>
      </c>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row>
    <row r="32" customFormat="false" ht="15" hidden="false" customHeight="false" outlineLevel="0" collapsed="false">
      <c r="C32" s="40" t="s">
        <v>464</v>
      </c>
      <c r="D32" s="58" t="s">
        <v>465</v>
      </c>
      <c r="E32" s="58" t="s">
        <v>466</v>
      </c>
      <c r="F32" s="69" t="n">
        <v>74.5</v>
      </c>
      <c r="G32" s="69" t="n">
        <v>108.3</v>
      </c>
      <c r="H32" s="70" t="n">
        <v>175</v>
      </c>
      <c r="I32" s="68"/>
      <c r="J32" s="68"/>
      <c r="K32" s="68"/>
      <c r="L32" s="68"/>
      <c r="N32" s="40"/>
      <c r="O32" s="40"/>
      <c r="P32" s="40"/>
      <c r="Q32" s="40"/>
      <c r="R32" s="40"/>
      <c r="S32" s="40"/>
      <c r="T32" s="40"/>
      <c r="U32" s="40"/>
      <c r="V32" s="40"/>
      <c r="W32" s="40"/>
      <c r="X32" s="68"/>
      <c r="Y32" s="68"/>
      <c r="Z32" s="68"/>
      <c r="AA32" s="68"/>
      <c r="AB32" s="68"/>
      <c r="AC32" s="68"/>
      <c r="AD32" s="68"/>
      <c r="AE32" s="68"/>
      <c r="AF32" s="68"/>
      <c r="AG32" s="68"/>
      <c r="AH32" s="68"/>
      <c r="AI32" s="68"/>
      <c r="AJ32" s="68"/>
      <c r="AK32" s="68"/>
      <c r="AL32" s="68"/>
      <c r="AM32" s="68"/>
      <c r="AN32" s="68"/>
      <c r="AO32" s="68"/>
    </row>
    <row r="33" customFormat="false" ht="15" hidden="false" customHeight="false" outlineLevel="0" collapsed="false">
      <c r="C33" s="40" t="s">
        <v>467</v>
      </c>
      <c r="D33" s="58" t="s">
        <v>465</v>
      </c>
      <c r="E33" s="58" t="s">
        <v>468</v>
      </c>
      <c r="F33" s="69" t="n">
        <v>83.9</v>
      </c>
      <c r="G33" s="69" t="n">
        <v>134.8</v>
      </c>
      <c r="H33" s="70" t="n">
        <v>220</v>
      </c>
      <c r="I33" s="68"/>
      <c r="J33" s="68"/>
      <c r="K33" s="68"/>
      <c r="L33" s="68"/>
      <c r="N33" s="40"/>
      <c r="O33" s="40"/>
      <c r="P33" s="40"/>
      <c r="Q33" s="40"/>
      <c r="R33" s="40"/>
      <c r="S33" s="40"/>
      <c r="T33" s="40"/>
      <c r="U33" s="40"/>
      <c r="V33" s="40"/>
      <c r="W33" s="40"/>
      <c r="X33" s="68"/>
      <c r="Y33" s="68"/>
      <c r="Z33" s="68"/>
      <c r="AA33" s="68"/>
      <c r="AB33" s="68"/>
      <c r="AC33" s="68"/>
      <c r="AD33" s="68"/>
      <c r="AE33" s="68"/>
      <c r="AF33" s="68"/>
      <c r="AG33" s="68"/>
      <c r="AH33" s="68"/>
      <c r="AI33" s="68"/>
      <c r="AJ33" s="68"/>
      <c r="AK33" s="68"/>
      <c r="AL33" s="68"/>
      <c r="AM33" s="68"/>
      <c r="AN33" s="68"/>
      <c r="AO33" s="68"/>
    </row>
    <row r="34" customFormat="false" ht="15" hidden="false" customHeight="false" outlineLevel="0" collapsed="false">
      <c r="C34" s="40" t="s">
        <v>469</v>
      </c>
      <c r="D34" s="58" t="s">
        <v>465</v>
      </c>
      <c r="E34" s="58"/>
      <c r="F34" s="69" t="n">
        <v>52.9</v>
      </c>
      <c r="G34" s="69" t="n">
        <v>93</v>
      </c>
      <c r="H34" s="70" t="n">
        <v>200</v>
      </c>
      <c r="I34" s="68"/>
      <c r="J34" s="68"/>
      <c r="K34" s="68"/>
      <c r="L34" s="68"/>
      <c r="N34" s="40"/>
      <c r="O34" s="40"/>
      <c r="P34" s="40"/>
      <c r="Q34" s="40"/>
      <c r="R34" s="40"/>
      <c r="S34" s="40"/>
      <c r="T34" s="40"/>
      <c r="U34" s="40"/>
      <c r="V34" s="40"/>
      <c r="W34" s="40"/>
      <c r="X34" s="68"/>
      <c r="Y34" s="68"/>
      <c r="Z34" s="68"/>
      <c r="AA34" s="68"/>
      <c r="AB34" s="68"/>
      <c r="AC34" s="68"/>
      <c r="AD34" s="68"/>
      <c r="AE34" s="68"/>
      <c r="AF34" s="68"/>
      <c r="AG34" s="68"/>
      <c r="AH34" s="68"/>
      <c r="AI34" s="68"/>
      <c r="AJ34" s="68"/>
      <c r="AK34" s="68"/>
      <c r="AL34" s="68"/>
      <c r="AM34" s="68"/>
      <c r="AN34" s="68"/>
      <c r="AO34" s="68"/>
    </row>
    <row r="35" customFormat="false" ht="15" hidden="false" customHeight="false" outlineLevel="0" collapsed="false">
      <c r="C35" s="40" t="s">
        <v>470</v>
      </c>
      <c r="D35" s="58" t="s">
        <v>465</v>
      </c>
      <c r="E35" s="58"/>
      <c r="F35" s="69" t="n">
        <v>38.4</v>
      </c>
      <c r="G35" s="69" t="n">
        <v>72.6</v>
      </c>
      <c r="H35" s="70" t="n">
        <v>137.5</v>
      </c>
      <c r="I35" s="68"/>
      <c r="J35" s="68"/>
      <c r="K35" s="68"/>
      <c r="L35" s="68"/>
      <c r="N35" s="40"/>
      <c r="O35" s="40"/>
      <c r="P35" s="40"/>
      <c r="Q35" s="40"/>
      <c r="R35" s="40"/>
      <c r="S35" s="40"/>
      <c r="T35" s="40"/>
      <c r="U35" s="40"/>
      <c r="V35" s="40"/>
      <c r="W35" s="40"/>
      <c r="X35" s="68"/>
      <c r="Y35" s="68"/>
      <c r="Z35" s="68"/>
      <c r="AA35" s="68"/>
      <c r="AB35" s="68"/>
      <c r="AC35" s="68"/>
      <c r="AD35" s="68"/>
      <c r="AE35" s="68"/>
      <c r="AF35" s="68"/>
      <c r="AG35" s="68"/>
      <c r="AH35" s="68"/>
      <c r="AI35" s="68"/>
      <c r="AJ35" s="68"/>
      <c r="AK35" s="68"/>
      <c r="AL35" s="68"/>
      <c r="AM35" s="68"/>
      <c r="AN35" s="68"/>
      <c r="AO35" s="68"/>
    </row>
    <row r="36" customFormat="false" ht="15" hidden="false" customHeight="false" outlineLevel="0" collapsed="false">
      <c r="C36" s="42" t="s">
        <v>471</v>
      </c>
      <c r="D36" s="63" t="s">
        <v>465</v>
      </c>
      <c r="E36" s="63" t="s">
        <v>472</v>
      </c>
      <c r="F36" s="71" t="n">
        <f aca="false">SUM(F32:F35)</f>
        <v>249.7</v>
      </c>
      <c r="G36" s="71" t="n">
        <f aca="false">SUM(G32:G35)</f>
        <v>408.7</v>
      </c>
      <c r="H36" s="72" t="n">
        <f aca="false">SUM(H32:H35)</f>
        <v>732.5</v>
      </c>
      <c r="I36" s="72" t="n">
        <f aca="false">H36*(1+'Key Drivers'!I11)</f>
        <v>915.625</v>
      </c>
      <c r="J36" s="72" t="n">
        <f aca="false">I36*(1+'Key Drivers'!J11)</f>
        <v>1007.1875</v>
      </c>
      <c r="K36" s="72" t="n">
        <f aca="false">J36*(1+'Key Drivers'!K11)</f>
        <v>1057.546875</v>
      </c>
      <c r="L36" s="72" t="n">
        <f aca="false">K36*(1+'Key Drivers'!L11)</f>
        <v>1089.27328125</v>
      </c>
      <c r="N36" s="73"/>
      <c r="O36" s="73"/>
      <c r="P36" s="73"/>
      <c r="Q36" s="73"/>
      <c r="R36" s="73"/>
      <c r="S36" s="73"/>
      <c r="T36" s="73"/>
      <c r="U36" s="73"/>
      <c r="V36" s="73"/>
      <c r="W36" s="73"/>
      <c r="X36" s="74"/>
      <c r="Y36" s="74"/>
      <c r="Z36" s="74"/>
      <c r="AA36" s="74"/>
      <c r="AB36" s="74"/>
      <c r="AC36" s="74"/>
      <c r="AD36" s="74"/>
      <c r="AE36" s="74"/>
      <c r="AF36" s="74"/>
      <c r="AG36" s="74"/>
      <c r="AH36" s="74"/>
      <c r="AI36" s="74"/>
      <c r="AJ36" s="74"/>
      <c r="AK36" s="74"/>
      <c r="AL36" s="74"/>
      <c r="AM36" s="74"/>
      <c r="AN36" s="74"/>
      <c r="AO36" s="74"/>
    </row>
    <row r="37" customFormat="false" ht="15" hidden="false" customHeight="false" outlineLevel="0" collapsed="false">
      <c r="C37" s="46" t="s">
        <v>455</v>
      </c>
      <c r="D37" s="58"/>
      <c r="E37" s="58"/>
      <c r="F37" s="40"/>
      <c r="G37" s="65" t="n">
        <f aca="false">G36/F36-1</f>
        <v>0.636764116940328</v>
      </c>
      <c r="H37" s="66" t="n">
        <f aca="false">H36/G36-1</f>
        <v>0.792268167359922</v>
      </c>
      <c r="I37" s="66" t="n">
        <f aca="false">I36/H36-1</f>
        <v>0.25</v>
      </c>
      <c r="J37" s="66" t="n">
        <f aca="false">J36/I36-1</f>
        <v>0.1</v>
      </c>
      <c r="K37" s="66" t="n">
        <f aca="false">K36/J36-1</f>
        <v>0.05</v>
      </c>
      <c r="L37" s="66" t="n">
        <f aca="false">L36/K36-1</f>
        <v>0.03</v>
      </c>
      <c r="N37" s="40"/>
      <c r="O37" s="40"/>
      <c r="P37" s="40"/>
      <c r="Q37" s="40"/>
      <c r="R37" s="40"/>
      <c r="S37" s="40"/>
      <c r="T37" s="40"/>
      <c r="U37" s="40"/>
      <c r="V37" s="40"/>
      <c r="W37" s="40"/>
      <c r="X37" s="68"/>
      <c r="Y37" s="68"/>
      <c r="Z37" s="68"/>
      <c r="AA37" s="68"/>
      <c r="AB37" s="68"/>
      <c r="AC37" s="68"/>
      <c r="AD37" s="68"/>
      <c r="AE37" s="68"/>
      <c r="AF37" s="68"/>
      <c r="AG37" s="68"/>
      <c r="AH37" s="68"/>
      <c r="AI37" s="68"/>
      <c r="AJ37" s="68"/>
      <c r="AK37" s="68"/>
      <c r="AL37" s="68"/>
      <c r="AM37" s="68"/>
      <c r="AN37" s="68"/>
      <c r="AO37" s="68"/>
    </row>
    <row r="39" customFormat="false" ht="15" hidden="false" customHeight="false" outlineLevel="0" collapsed="false">
      <c r="C39" s="48" t="s">
        <v>473</v>
      </c>
      <c r="D39" s="58"/>
      <c r="E39" s="58"/>
      <c r="F39" s="75" t="n">
        <f aca="false">F69/(F36*1000)</f>
        <v>0.0228594313175811</v>
      </c>
      <c r="G39" s="75" t="n">
        <f aca="false">G69/(G36*1000)</f>
        <v>0.0163591876682163</v>
      </c>
      <c r="H39" s="76" t="n">
        <f aca="false">H69/(H36*1000)</f>
        <v>0.0127609971331058</v>
      </c>
      <c r="I39" s="76" t="n">
        <f aca="false">I69/(I36*1000)</f>
        <v>0.0137667173681301</v>
      </c>
      <c r="J39" s="76" t="n">
        <f aca="false">J69/(J36*1000)</f>
        <v>0.0145710009297936</v>
      </c>
      <c r="K39" s="76" t="n">
        <f aca="false">K69/(K36*1000)</f>
        <v>0.0160130000198559</v>
      </c>
      <c r="L39" s="76" t="n">
        <f aca="false">L69/(L36*1000)</f>
        <v>0.0176467076274574</v>
      </c>
      <c r="N39" s="40"/>
      <c r="O39" s="40"/>
      <c r="P39" s="40"/>
      <c r="Q39" s="40"/>
      <c r="R39" s="40"/>
      <c r="S39" s="40"/>
      <c r="T39" s="40"/>
      <c r="U39" s="40"/>
      <c r="V39" s="40"/>
      <c r="W39" s="40"/>
      <c r="X39" s="68"/>
      <c r="Y39" s="68"/>
      <c r="Z39" s="68"/>
      <c r="AA39" s="68"/>
      <c r="AB39" s="68"/>
      <c r="AC39" s="68"/>
      <c r="AD39" s="68"/>
      <c r="AE39" s="68"/>
      <c r="AF39" s="68"/>
      <c r="AG39" s="68"/>
      <c r="AH39" s="68"/>
      <c r="AI39" s="68"/>
      <c r="AJ39" s="68"/>
      <c r="AK39" s="68"/>
      <c r="AL39" s="68"/>
      <c r="AM39" s="68"/>
      <c r="AN39" s="68"/>
      <c r="AO39" s="68"/>
    </row>
    <row r="40" customFormat="false" ht="15" hidden="false" customHeight="false" outlineLevel="0" collapsed="false">
      <c r="C40" s="48" t="s">
        <v>474</v>
      </c>
      <c r="D40" s="58"/>
      <c r="E40" s="58"/>
      <c r="F40" s="75" t="n">
        <f aca="false">F91/(F36*1000)</f>
        <v>0.022162595114137</v>
      </c>
      <c r="G40" s="75" t="n">
        <f aca="false">G91/(G36*1000)</f>
        <v>0.0180523611450942</v>
      </c>
      <c r="H40" s="76" t="n">
        <f aca="false">H91/(H36*1000)</f>
        <v>0.0172437435020536</v>
      </c>
      <c r="I40" s="76" t="n">
        <f aca="false">I91/(I36*1000)</f>
        <v>0.0159285790821876</v>
      </c>
      <c r="J40" s="76" t="n">
        <f aca="false">J91/(J36*1000)</f>
        <v>0.016712853595577</v>
      </c>
      <c r="K40" s="76" t="n">
        <f aca="false">K91/(K36*1000)</f>
        <v>0.0179518420128423</v>
      </c>
      <c r="L40" s="76" t="n">
        <f aca="false">L91/(L36*1000)</f>
        <v>0.0192197167969796</v>
      </c>
      <c r="N40" s="40"/>
      <c r="O40" s="40"/>
      <c r="P40" s="40"/>
      <c r="Q40" s="40"/>
      <c r="R40" s="40"/>
      <c r="S40" s="40"/>
      <c r="T40" s="40"/>
      <c r="U40" s="40"/>
      <c r="V40" s="40"/>
      <c r="W40" s="40"/>
      <c r="X40" s="68"/>
      <c r="Y40" s="68"/>
      <c r="Z40" s="68"/>
      <c r="AA40" s="68"/>
      <c r="AB40" s="68"/>
      <c r="AC40" s="68"/>
      <c r="AD40" s="68"/>
      <c r="AE40" s="68"/>
      <c r="AF40" s="68"/>
      <c r="AG40" s="68"/>
      <c r="AH40" s="68"/>
      <c r="AI40" s="68"/>
      <c r="AJ40" s="68"/>
      <c r="AK40" s="68"/>
      <c r="AL40" s="68"/>
      <c r="AM40" s="68"/>
      <c r="AN40" s="68"/>
      <c r="AO40" s="68"/>
    </row>
    <row r="41" customFormat="false" ht="15" hidden="false" customHeight="false" outlineLevel="0" collapsed="false">
      <c r="C41" s="48" t="s">
        <v>475</v>
      </c>
      <c r="D41" s="58"/>
      <c r="E41" s="58" t="s">
        <v>476</v>
      </c>
      <c r="F41" s="75" t="n">
        <f aca="false">(F69+F91)/(F36*1000)</f>
        <v>0.0450220264317181</v>
      </c>
      <c r="G41" s="75" t="n">
        <f aca="false">(G69+G91)/(G36*1000)</f>
        <v>0.0344115488133105</v>
      </c>
      <c r="H41" s="76" t="n">
        <f aca="false">(H69+H91)/(H36*1000)</f>
        <v>0.0300047406351594</v>
      </c>
      <c r="I41" s="76" t="n">
        <f aca="false">(I69+I91)/(I36*1000)</f>
        <v>0.0296952964503177</v>
      </c>
      <c r="J41" s="76" t="n">
        <f aca="false">(J69+J91)/(J36*1000)</f>
        <v>0.0312838545253706</v>
      </c>
      <c r="K41" s="76" t="n">
        <f aca="false">(K69+K91)/(K36*1000)</f>
        <v>0.0339648420326982</v>
      </c>
      <c r="L41" s="76" t="n">
        <f aca="false">(L69+L91)/(L36*1000)</f>
        <v>0.0368664244244369</v>
      </c>
      <c r="N41" s="40"/>
      <c r="O41" s="40"/>
      <c r="P41" s="40"/>
      <c r="Q41" s="40"/>
      <c r="R41" s="40"/>
      <c r="S41" s="40"/>
      <c r="T41" s="40"/>
      <c r="U41" s="40"/>
      <c r="V41" s="40"/>
      <c r="W41" s="40"/>
      <c r="X41" s="68"/>
      <c r="Y41" s="68"/>
      <c r="Z41" s="68"/>
      <c r="AA41" s="68"/>
      <c r="AB41" s="68"/>
      <c r="AC41" s="68"/>
      <c r="AD41" s="68"/>
      <c r="AE41" s="68"/>
      <c r="AF41" s="68"/>
      <c r="AG41" s="68"/>
      <c r="AH41" s="68"/>
      <c r="AI41" s="68"/>
      <c r="AJ41" s="68"/>
      <c r="AK41" s="68"/>
      <c r="AL41" s="68"/>
      <c r="AM41" s="68"/>
      <c r="AN41" s="68"/>
      <c r="AO41" s="68"/>
    </row>
    <row r="43" customFormat="false" ht="15" hidden="false" customHeight="false" outlineLevel="0" collapsed="false">
      <c r="C43" s="61" t="s">
        <v>477</v>
      </c>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row>
    <row r="44" customFormat="false" ht="15" hidden="false" customHeight="false" outlineLevel="0" collapsed="false">
      <c r="C44" s="48" t="s">
        <v>478</v>
      </c>
      <c r="D44" s="58"/>
      <c r="E44" s="58"/>
    </row>
    <row r="45" customFormat="false" ht="15" hidden="false" customHeight="false" outlineLevel="0" collapsed="false">
      <c r="C45" s="40" t="s">
        <v>479</v>
      </c>
      <c r="D45" s="58" t="s">
        <v>480</v>
      </c>
      <c r="E45" s="58"/>
      <c r="F45" s="40"/>
      <c r="G45" s="40"/>
      <c r="H45" s="77" t="n">
        <f aca="false">V45</f>
        <v>43</v>
      </c>
      <c r="I45" s="77" t="n">
        <f aca="false">Z45</f>
        <v>65.7072</v>
      </c>
      <c r="J45" s="77" t="n">
        <f aca="false">AD45</f>
        <v>68.3280914150492</v>
      </c>
      <c r="K45" s="77" t="n">
        <f aca="false">AH45</f>
        <v>65.7461962995825</v>
      </c>
      <c r="L45" s="77" t="n">
        <f aca="false">AL45</f>
        <v>61.5014975677519</v>
      </c>
      <c r="N45" s="40"/>
      <c r="O45" s="40"/>
      <c r="P45" s="40"/>
      <c r="Q45" s="40"/>
      <c r="R45" s="40"/>
      <c r="S45" s="40"/>
      <c r="T45" s="40"/>
      <c r="U45" s="40"/>
      <c r="V45" s="78" t="n">
        <f aca="false">U49</f>
        <v>43</v>
      </c>
      <c r="W45" s="78" t="n">
        <f aca="false">V49</f>
        <v>56</v>
      </c>
      <c r="X45" s="77" t="n">
        <f aca="false">W49</f>
        <v>63</v>
      </c>
      <c r="Y45" s="77" t="n">
        <f aca="false">X49</f>
        <v>64.44</v>
      </c>
      <c r="Z45" s="77" t="n">
        <f aca="false">Y49</f>
        <v>65.7072</v>
      </c>
      <c r="AA45" s="77" t="n">
        <f aca="false">Z49</f>
        <v>66.472212</v>
      </c>
      <c r="AB45" s="77" t="n">
        <f aca="false">AA49</f>
        <v>67.15881027</v>
      </c>
      <c r="AC45" s="77" t="n">
        <f aca="false">AB49</f>
        <v>67.775032217325</v>
      </c>
      <c r="AD45" s="77" t="n">
        <f aca="false">AC49</f>
        <v>68.3280914150492</v>
      </c>
      <c r="AE45" s="77" t="n">
        <f aca="false">AD49</f>
        <v>67.5744620450067</v>
      </c>
      <c r="AF45" s="77" t="n">
        <f aca="false">AE49</f>
        <v>66.8980796853935</v>
      </c>
      <c r="AG45" s="77" t="n">
        <f aca="false">AF49</f>
        <v>66.2910265176407</v>
      </c>
      <c r="AH45" s="77" t="n">
        <f aca="false">AG49</f>
        <v>65.7461962995825</v>
      </c>
      <c r="AI45" s="77" t="n">
        <f aca="false">AH49</f>
        <v>64.5072111788753</v>
      </c>
      <c r="AJ45" s="77" t="n">
        <f aca="false">AI49</f>
        <v>63.3952220330406</v>
      </c>
      <c r="AK45" s="77" t="n">
        <f aca="false">AJ49</f>
        <v>62.3972117746539</v>
      </c>
      <c r="AL45" s="77" t="n">
        <f aca="false">AK49</f>
        <v>61.5014975677519</v>
      </c>
      <c r="AM45" s="77" t="n">
        <f aca="false">AL49</f>
        <v>60.1975940670573</v>
      </c>
      <c r="AN45" s="77" t="n">
        <f aca="false">AM49</f>
        <v>59.0273406751839</v>
      </c>
      <c r="AO45" s="77" t="n">
        <f aca="false">AN49</f>
        <v>57.9770382559776</v>
      </c>
    </row>
    <row r="46" customFormat="false" ht="15" hidden="false" customHeight="false" outlineLevel="0" collapsed="false">
      <c r="C46" s="40" t="s">
        <v>481</v>
      </c>
      <c r="D46" s="58" t="s">
        <v>480</v>
      </c>
      <c r="E46" s="58" t="s">
        <v>482</v>
      </c>
      <c r="F46" s="40"/>
      <c r="G46" s="40"/>
      <c r="H46" s="77" t="n">
        <f aca="false">SUM(V46:Y46)</f>
        <v>54.2</v>
      </c>
      <c r="I46" s="77" t="n">
        <f aca="false">SUM(Z46:AC46)</f>
        <v>30</v>
      </c>
      <c r="J46" s="77" t="n">
        <f aca="false">SUM(AD46:AG46)</f>
        <v>25</v>
      </c>
      <c r="K46" s="77" t="n">
        <f aca="false">SUM(AH46:AK46)</f>
        <v>22</v>
      </c>
      <c r="L46" s="77" t="n">
        <f aca="false">SUM(AL46:AO46)</f>
        <v>20</v>
      </c>
      <c r="N46" s="40"/>
      <c r="O46" s="40"/>
      <c r="P46" s="40"/>
      <c r="Q46" s="40"/>
      <c r="R46" s="40"/>
      <c r="S46" s="40"/>
      <c r="T46" s="40"/>
      <c r="U46" s="40"/>
      <c r="V46" s="78" t="n">
        <f aca="false">V49-V45+V47</f>
        <v>19.1</v>
      </c>
      <c r="W46" s="78" t="n">
        <f aca="false">W49-W45+W47</f>
        <v>17.1</v>
      </c>
      <c r="X46" s="77" t="n">
        <f aca="false">'Key Drivers'!H32</f>
        <v>9</v>
      </c>
      <c r="Y46" s="77" t="n">
        <f aca="false">'Key Drivers'!H32</f>
        <v>9</v>
      </c>
      <c r="Z46" s="77" t="n">
        <f aca="false">'Key Drivers'!I32</f>
        <v>7.5</v>
      </c>
      <c r="AA46" s="77" t="n">
        <f aca="false">'Key Drivers'!I32</f>
        <v>7.5</v>
      </c>
      <c r="AB46" s="77" t="n">
        <f aca="false">'Key Drivers'!I32</f>
        <v>7.5</v>
      </c>
      <c r="AC46" s="77" t="n">
        <f aca="false">'Key Drivers'!I32</f>
        <v>7.5</v>
      </c>
      <c r="AD46" s="77" t="n">
        <f aca="false">'Key Drivers'!J32</f>
        <v>6.25</v>
      </c>
      <c r="AE46" s="77" t="n">
        <f aca="false">'Key Drivers'!J32</f>
        <v>6.25</v>
      </c>
      <c r="AF46" s="77" t="n">
        <f aca="false">'Key Drivers'!J32</f>
        <v>6.25</v>
      </c>
      <c r="AG46" s="77" t="n">
        <f aca="false">'Key Drivers'!J32</f>
        <v>6.25</v>
      </c>
      <c r="AH46" s="77" t="n">
        <f aca="false">'Key Drivers'!K32</f>
        <v>5.5</v>
      </c>
      <c r="AI46" s="77" t="n">
        <f aca="false">'Key Drivers'!K32</f>
        <v>5.5</v>
      </c>
      <c r="AJ46" s="77" t="n">
        <f aca="false">'Key Drivers'!K32</f>
        <v>5.5</v>
      </c>
      <c r="AK46" s="77" t="n">
        <f aca="false">'Key Drivers'!K32</f>
        <v>5.5</v>
      </c>
      <c r="AL46" s="77" t="n">
        <f aca="false">'Key Drivers'!L32</f>
        <v>5</v>
      </c>
      <c r="AM46" s="77" t="n">
        <f aca="false">'Key Drivers'!L32</f>
        <v>5</v>
      </c>
      <c r="AN46" s="77" t="n">
        <f aca="false">'Key Drivers'!L32</f>
        <v>5</v>
      </c>
      <c r="AO46" s="77" t="n">
        <f aca="false">'Key Drivers'!L32</f>
        <v>5</v>
      </c>
    </row>
    <row r="47" customFormat="false" ht="15" hidden="false" customHeight="false" outlineLevel="0" collapsed="false">
      <c r="C47" s="40" t="s">
        <v>483</v>
      </c>
      <c r="D47" s="58" t="s">
        <v>480</v>
      </c>
      <c r="E47" s="58"/>
      <c r="F47" s="40"/>
      <c r="G47" s="40"/>
      <c r="H47" s="77" t="n">
        <f aca="false">SUM(V47:Y47)</f>
        <v>31.4928</v>
      </c>
      <c r="I47" s="77" t="n">
        <f aca="false">SUM(Z47:AC47)</f>
        <v>25.3757591762959</v>
      </c>
      <c r="J47" s="77" t="n">
        <f aca="false">SUM(AD47:AG47)</f>
        <v>25.5637076679935</v>
      </c>
      <c r="K47" s="77" t="n">
        <f aca="false">SUM(AH47:AK47)</f>
        <v>24.3243549221845</v>
      </c>
      <c r="L47" s="77" t="n">
        <f aca="false">SUM(AL47:AO47)</f>
        <v>22.6768297037672</v>
      </c>
      <c r="N47" s="40"/>
      <c r="O47" s="40"/>
      <c r="P47" s="40"/>
      <c r="Q47" s="40"/>
      <c r="R47" s="40"/>
      <c r="S47" s="40"/>
      <c r="T47" s="40"/>
      <c r="U47" s="40"/>
      <c r="V47" s="78" t="n">
        <f aca="false">V53</f>
        <v>6.1</v>
      </c>
      <c r="W47" s="78" t="n">
        <f aca="false">W53</f>
        <v>10.1</v>
      </c>
      <c r="X47" s="77" t="n">
        <f aca="false">X45*'Key Drivers'!H37</f>
        <v>7.56</v>
      </c>
      <c r="Y47" s="77" t="n">
        <f aca="false">Y45*'Key Drivers'!H37</f>
        <v>7.7328</v>
      </c>
      <c r="Z47" s="77" t="n">
        <f aca="false">Z45*'Key Drivers'!I37</f>
        <v>6.242184</v>
      </c>
      <c r="AA47" s="77" t="n">
        <f aca="false">AA45*'Key Drivers'!I37</f>
        <v>6.31486014</v>
      </c>
      <c r="AB47" s="77" t="n">
        <f aca="false">AB45*'Key Drivers'!I37</f>
        <v>6.38008697565</v>
      </c>
      <c r="AC47" s="77" t="n">
        <f aca="false">AC45*'Key Drivers'!I37</f>
        <v>6.43862806064588</v>
      </c>
      <c r="AD47" s="77" t="n">
        <f aca="false">AD45*'Key Drivers'!J37</f>
        <v>6.49116868442967</v>
      </c>
      <c r="AE47" s="77" t="n">
        <f aca="false">AE45*'Key Drivers'!J37</f>
        <v>6.41957389427563</v>
      </c>
      <c r="AF47" s="77" t="n">
        <f aca="false">AF45*'Key Drivers'!J37</f>
        <v>6.35531757011238</v>
      </c>
      <c r="AG47" s="77" t="n">
        <f aca="false">AG45*'Key Drivers'!J37</f>
        <v>6.29764751917586</v>
      </c>
      <c r="AH47" s="77" t="n">
        <f aca="false">AH45*'Key Drivers'!K37</f>
        <v>6.24588864846034</v>
      </c>
      <c r="AI47" s="77" t="n">
        <f aca="false">AI45*'Key Drivers'!K37</f>
        <v>6.12818506199315</v>
      </c>
      <c r="AJ47" s="77" t="n">
        <f aca="false">AJ45*'Key Drivers'!K37</f>
        <v>6.02254609313885</v>
      </c>
      <c r="AK47" s="77" t="n">
        <f aca="false">AK45*'Key Drivers'!K37</f>
        <v>5.92773511859212</v>
      </c>
      <c r="AL47" s="77" t="n">
        <f aca="false">AL45*'Key Drivers'!L37</f>
        <v>5.84264226893643</v>
      </c>
      <c r="AM47" s="77" t="n">
        <f aca="false">AM45*'Key Drivers'!L37</f>
        <v>5.71877143637044</v>
      </c>
      <c r="AN47" s="77" t="n">
        <f aca="false">AN45*'Key Drivers'!L37</f>
        <v>5.60759736414247</v>
      </c>
      <c r="AO47" s="77" t="n">
        <f aca="false">AO45*'Key Drivers'!L37</f>
        <v>5.50781863431787</v>
      </c>
    </row>
    <row r="48" customFormat="false" ht="15" hidden="false" customHeight="false" outlineLevel="0" collapsed="false">
      <c r="C48" s="40" t="s">
        <v>484</v>
      </c>
      <c r="D48" s="58" t="s">
        <v>480</v>
      </c>
      <c r="E48" s="58"/>
      <c r="F48" s="40"/>
      <c r="G48" s="40"/>
      <c r="H48" s="77" t="n">
        <f aca="false">SUM(V48:Y48)</f>
        <v>0</v>
      </c>
      <c r="I48" s="77" t="n">
        <f aca="false">SUM(Z48:AC48)</f>
        <v>2.00334940865494</v>
      </c>
      <c r="J48" s="77" t="n">
        <f aca="false">SUM(AD48:AG48)</f>
        <v>2.01818744747317</v>
      </c>
      <c r="K48" s="77" t="n">
        <f aca="false">SUM(AH48:AK48)</f>
        <v>1.92034380964614</v>
      </c>
      <c r="L48" s="77" t="n">
        <f aca="false">SUM(AL48:AO48)</f>
        <v>1.79027602924478</v>
      </c>
      <c r="N48" s="40"/>
      <c r="O48" s="40"/>
      <c r="P48" s="40"/>
      <c r="Q48" s="40"/>
      <c r="R48" s="40"/>
      <c r="S48" s="40"/>
      <c r="T48" s="40"/>
      <c r="U48" s="40"/>
      <c r="V48" s="40"/>
      <c r="W48" s="40"/>
      <c r="X48" s="77" t="n">
        <f aca="false">X45*'Key Drivers'!H42</f>
        <v>0</v>
      </c>
      <c r="Y48" s="77" t="n">
        <f aca="false">Y45*'Key Drivers'!H42</f>
        <v>0</v>
      </c>
      <c r="Z48" s="77" t="n">
        <f aca="false">Z45*'Key Drivers'!I42</f>
        <v>0.492804</v>
      </c>
      <c r="AA48" s="77" t="n">
        <f aca="false">AA45*'Key Drivers'!I42</f>
        <v>0.49854159</v>
      </c>
      <c r="AB48" s="77" t="n">
        <f aca="false">AB45*'Key Drivers'!I42</f>
        <v>0.503691077025</v>
      </c>
      <c r="AC48" s="77" t="n">
        <f aca="false">AC45*'Key Drivers'!I42</f>
        <v>0.508312741629938</v>
      </c>
      <c r="AD48" s="77" t="n">
        <f aca="false">AD45*'Key Drivers'!J42</f>
        <v>0.512460685612869</v>
      </c>
      <c r="AE48" s="77" t="n">
        <f aca="false">AE45*'Key Drivers'!J42</f>
        <v>0.50680846533755</v>
      </c>
      <c r="AF48" s="77" t="n">
        <f aca="false">AF45*'Key Drivers'!J42</f>
        <v>0.501735597640451</v>
      </c>
      <c r="AG48" s="77" t="n">
        <f aca="false">AG45*'Key Drivers'!J42</f>
        <v>0.497182698882305</v>
      </c>
      <c r="AH48" s="77" t="n">
        <f aca="false">AH45*'Key Drivers'!K42</f>
        <v>0.493096472246869</v>
      </c>
      <c r="AI48" s="77" t="n">
        <f aca="false">AI45*'Key Drivers'!K42</f>
        <v>0.483804083841565</v>
      </c>
      <c r="AJ48" s="77" t="n">
        <f aca="false">AJ45*'Key Drivers'!K42</f>
        <v>0.475464165247804</v>
      </c>
      <c r="AK48" s="77" t="n">
        <f aca="false">AK45*'Key Drivers'!K42</f>
        <v>0.467979088309904</v>
      </c>
      <c r="AL48" s="77" t="n">
        <f aca="false">AL45*'Key Drivers'!L42</f>
        <v>0.461261231758139</v>
      </c>
      <c r="AM48" s="77" t="n">
        <f aca="false">AM45*'Key Drivers'!L42</f>
        <v>0.45148195550293</v>
      </c>
      <c r="AN48" s="77" t="n">
        <f aca="false">AN45*'Key Drivers'!L42</f>
        <v>0.44270505506388</v>
      </c>
      <c r="AO48" s="77" t="n">
        <f aca="false">AO45*'Key Drivers'!L42</f>
        <v>0.434827786919832</v>
      </c>
    </row>
    <row r="49" customFormat="false" ht="15" hidden="false" customHeight="false" outlineLevel="0" collapsed="false">
      <c r="C49" s="42" t="s">
        <v>485</v>
      </c>
      <c r="D49" s="63" t="s">
        <v>480</v>
      </c>
      <c r="E49" s="63" t="s">
        <v>486</v>
      </c>
      <c r="F49" s="73"/>
      <c r="G49" s="71" t="n">
        <f aca="false">U49</f>
        <v>43</v>
      </c>
      <c r="H49" s="72" t="n">
        <f aca="false">Y49</f>
        <v>65.7072</v>
      </c>
      <c r="I49" s="72" t="n">
        <f aca="false">AC49</f>
        <v>68.3280914150492</v>
      </c>
      <c r="J49" s="72" t="n">
        <f aca="false">AG49</f>
        <v>65.7461962995825</v>
      </c>
      <c r="K49" s="72" t="n">
        <f aca="false">AK49</f>
        <v>61.5014975677519</v>
      </c>
      <c r="L49" s="72" t="n">
        <f aca="false">AO49</f>
        <v>57.0343918347399</v>
      </c>
      <c r="N49" s="73"/>
      <c r="O49" s="73"/>
      <c r="P49" s="73"/>
      <c r="Q49" s="73"/>
      <c r="R49" s="73"/>
      <c r="S49" s="73"/>
      <c r="T49" s="73"/>
      <c r="U49" s="79" t="n">
        <v>43</v>
      </c>
      <c r="V49" s="79" t="n">
        <v>56</v>
      </c>
      <c r="W49" s="79" t="n">
        <v>63</v>
      </c>
      <c r="X49" s="72" t="n">
        <f aca="false">X45+X46-X47-X48</f>
        <v>64.44</v>
      </c>
      <c r="Y49" s="72" t="n">
        <f aca="false">Y45+Y46-Y47-Y48</f>
        <v>65.7072</v>
      </c>
      <c r="Z49" s="72" t="n">
        <f aca="false">Z45+Z46-Z47-Z48</f>
        <v>66.472212</v>
      </c>
      <c r="AA49" s="72" t="n">
        <f aca="false">AA45+AA46-AA47-AA48</f>
        <v>67.15881027</v>
      </c>
      <c r="AB49" s="72" t="n">
        <f aca="false">AB45+AB46-AB47-AB48</f>
        <v>67.775032217325</v>
      </c>
      <c r="AC49" s="72" t="n">
        <f aca="false">AC45+AC46-AC47-AC48</f>
        <v>68.3280914150492</v>
      </c>
      <c r="AD49" s="72" t="n">
        <f aca="false">AD45+AD46-AD47-AD48</f>
        <v>67.5744620450067</v>
      </c>
      <c r="AE49" s="72" t="n">
        <f aca="false">AE45+AE46-AE47-AE48</f>
        <v>66.8980796853935</v>
      </c>
      <c r="AF49" s="72" t="n">
        <f aca="false">AF45+AF46-AF47-AF48</f>
        <v>66.2910265176407</v>
      </c>
      <c r="AG49" s="72" t="n">
        <f aca="false">AG45+AG46-AG47-AG48</f>
        <v>65.7461962995825</v>
      </c>
      <c r="AH49" s="72" t="n">
        <f aca="false">AH45+AH46-AH47-AH48</f>
        <v>64.5072111788753</v>
      </c>
      <c r="AI49" s="72" t="n">
        <f aca="false">AI45+AI46-AI47-AI48</f>
        <v>63.3952220330406</v>
      </c>
      <c r="AJ49" s="72" t="n">
        <f aca="false">AJ45+AJ46-AJ47-AJ48</f>
        <v>62.3972117746539</v>
      </c>
      <c r="AK49" s="72" t="n">
        <f aca="false">AK45+AK46-AK47-AK48</f>
        <v>61.5014975677519</v>
      </c>
      <c r="AL49" s="72" t="n">
        <f aca="false">AL45+AL46-AL47-AL48</f>
        <v>60.1975940670573</v>
      </c>
      <c r="AM49" s="72" t="n">
        <f aca="false">AM45+AM46-AM47-AM48</f>
        <v>59.0273406751839</v>
      </c>
      <c r="AN49" s="72" t="n">
        <f aca="false">AN45+AN46-AN47-AN48</f>
        <v>57.9770382559776</v>
      </c>
      <c r="AO49" s="72" t="n">
        <f aca="false">AO45+AO46-AO47-AO48</f>
        <v>57.0343918347399</v>
      </c>
    </row>
    <row r="51" customFormat="false" ht="15" hidden="false" customHeight="false" outlineLevel="0" collapsed="false">
      <c r="C51" s="48" t="s">
        <v>487</v>
      </c>
      <c r="D51" s="58"/>
      <c r="E51" s="58"/>
    </row>
    <row r="52" customFormat="false" ht="15" hidden="false" customHeight="false" outlineLevel="0" collapsed="false">
      <c r="C52" s="40" t="s">
        <v>488</v>
      </c>
      <c r="D52" s="58" t="s">
        <v>480</v>
      </c>
      <c r="E52" s="58"/>
      <c r="F52" s="40"/>
      <c r="G52" s="40"/>
      <c r="H52" s="77" t="n">
        <f aca="false">V52</f>
        <v>40</v>
      </c>
      <c r="I52" s="77" t="n">
        <f aca="false">Z52</f>
        <v>63.0338328125</v>
      </c>
      <c r="J52" s="77" t="n">
        <f aca="false">AD52</f>
        <v>74.5423007185906</v>
      </c>
      <c r="K52" s="77" t="n">
        <f aca="false">AH52</f>
        <v>83.6346769356876</v>
      </c>
      <c r="L52" s="77" t="n">
        <f aca="false">AL52</f>
        <v>88.6893847322835</v>
      </c>
      <c r="N52" s="40"/>
      <c r="O52" s="40"/>
      <c r="P52" s="40"/>
      <c r="Q52" s="40"/>
      <c r="R52" s="40"/>
      <c r="S52" s="40"/>
      <c r="T52" s="40"/>
      <c r="U52" s="40"/>
      <c r="V52" s="78" t="n">
        <f aca="false">U58</f>
        <v>40</v>
      </c>
      <c r="W52" s="78" t="n">
        <f aca="false">V58</f>
        <v>44</v>
      </c>
      <c r="X52" s="77" t="n">
        <f aca="false">W58</f>
        <v>53</v>
      </c>
      <c r="Y52" s="77" t="n">
        <f aca="false">X58</f>
        <v>58.17375</v>
      </c>
      <c r="Z52" s="77" t="n">
        <f aca="false">Y58</f>
        <v>63.0338328125</v>
      </c>
      <c r="AA52" s="77" t="n">
        <f aca="false">Z58</f>
        <v>66.0472245214844</v>
      </c>
      <c r="AB52" s="77" t="n">
        <f aca="false">AA58</f>
        <v>68.9435256308325</v>
      </c>
      <c r="AC52" s="77" t="n">
        <f aca="false">AB58</f>
        <v>71.808433199444</v>
      </c>
      <c r="AD52" s="77" t="n">
        <f aca="false">AC58</f>
        <v>74.5423007185906</v>
      </c>
      <c r="AE52" s="77" t="n">
        <f aca="false">AD58</f>
        <v>77.196291527122</v>
      </c>
      <c r="AF52" s="77" t="n">
        <f aca="false">AE58</f>
        <v>79.5913700569887</v>
      </c>
      <c r="AG52" s="77" t="n">
        <f aca="false">AF58</f>
        <v>81.7351984145299</v>
      </c>
      <c r="AH52" s="77" t="n">
        <f aca="false">AG58</f>
        <v>83.6346769356876</v>
      </c>
      <c r="AI52" s="77" t="n">
        <f aca="false">AH58</f>
        <v>85.3880222379783</v>
      </c>
      <c r="AJ52" s="77" t="n">
        <f aca="false">AI58</f>
        <v>86.791472272174</v>
      </c>
      <c r="AK52" s="77" t="n">
        <f aca="false">AJ58</f>
        <v>87.9035290249726</v>
      </c>
      <c r="AL52" s="77" t="n">
        <f aca="false">AK58</f>
        <v>88.6893847322835</v>
      </c>
      <c r="AM52" s="77" t="n">
        <f aca="false">AL58</f>
        <v>89.2971652703046</v>
      </c>
      <c r="AN52" s="77" t="n">
        <f aca="false">AM58</f>
        <v>89.5963152500872</v>
      </c>
      <c r="AO52" s="77" t="n">
        <f aca="false">AN58</f>
        <v>89.599917220167</v>
      </c>
    </row>
    <row r="53" customFormat="false" ht="15" hidden="false" customHeight="false" outlineLevel="0" collapsed="false">
      <c r="C53" s="40" t="s">
        <v>489</v>
      </c>
      <c r="D53" s="58" t="s">
        <v>480</v>
      </c>
      <c r="E53" s="58"/>
      <c r="F53" s="40"/>
      <c r="G53" s="40"/>
      <c r="H53" s="77" t="n">
        <f aca="false">SUM(V53:Y53)</f>
        <v>31.4928</v>
      </c>
      <c r="I53" s="77" t="n">
        <f aca="false">SUM(Z53:AC53)</f>
        <v>25.3757591762959</v>
      </c>
      <c r="J53" s="77" t="n">
        <f aca="false">SUM(AD53:AG53)</f>
        <v>25.5637076679935</v>
      </c>
      <c r="K53" s="77" t="n">
        <f aca="false">SUM(AH53:AK53)</f>
        <v>24.3243549221845</v>
      </c>
      <c r="L53" s="77" t="n">
        <f aca="false">SUM(AL53:AO53)</f>
        <v>22.6768297037672</v>
      </c>
      <c r="N53" s="40"/>
      <c r="O53" s="40"/>
      <c r="P53" s="40"/>
      <c r="Q53" s="40"/>
      <c r="R53" s="40"/>
      <c r="S53" s="40"/>
      <c r="T53" s="40"/>
      <c r="U53" s="40"/>
      <c r="V53" s="78" t="n">
        <f aca="false">V55-V54</f>
        <v>6.1</v>
      </c>
      <c r="W53" s="78" t="n">
        <f aca="false">W55-W54</f>
        <v>10.1</v>
      </c>
      <c r="X53" s="77" t="n">
        <f aca="false">X47</f>
        <v>7.56</v>
      </c>
      <c r="Y53" s="77" t="n">
        <f aca="false">Y47</f>
        <v>7.7328</v>
      </c>
      <c r="Z53" s="77" t="n">
        <f aca="false">Z47</f>
        <v>6.242184</v>
      </c>
      <c r="AA53" s="77" t="n">
        <f aca="false">AA47</f>
        <v>6.31486014</v>
      </c>
      <c r="AB53" s="77" t="n">
        <f aca="false">AB47</f>
        <v>6.38008697565</v>
      </c>
      <c r="AC53" s="77" t="n">
        <f aca="false">AC47</f>
        <v>6.43862806064588</v>
      </c>
      <c r="AD53" s="77" t="n">
        <f aca="false">AD47</f>
        <v>6.49116868442967</v>
      </c>
      <c r="AE53" s="77" t="n">
        <f aca="false">AE47</f>
        <v>6.41957389427563</v>
      </c>
      <c r="AF53" s="77" t="n">
        <f aca="false">AF47</f>
        <v>6.35531757011238</v>
      </c>
      <c r="AG53" s="77" t="n">
        <f aca="false">AG47</f>
        <v>6.29764751917586</v>
      </c>
      <c r="AH53" s="77" t="n">
        <f aca="false">AH47</f>
        <v>6.24588864846034</v>
      </c>
      <c r="AI53" s="77" t="n">
        <f aca="false">AI47</f>
        <v>6.12818506199315</v>
      </c>
      <c r="AJ53" s="77" t="n">
        <f aca="false">AJ47</f>
        <v>6.02254609313885</v>
      </c>
      <c r="AK53" s="77" t="n">
        <f aca="false">AK47</f>
        <v>5.92773511859212</v>
      </c>
      <c r="AL53" s="77" t="n">
        <f aca="false">AL47</f>
        <v>5.84264226893643</v>
      </c>
      <c r="AM53" s="77" t="n">
        <f aca="false">AM47</f>
        <v>5.71877143637044</v>
      </c>
      <c r="AN53" s="77" t="n">
        <f aca="false">AN47</f>
        <v>5.60759736414247</v>
      </c>
      <c r="AO53" s="77" t="n">
        <f aca="false">AO47</f>
        <v>5.50781863431787</v>
      </c>
    </row>
    <row r="54" customFormat="false" ht="15" hidden="false" customHeight="false" outlineLevel="0" collapsed="false">
      <c r="C54" s="40" t="s">
        <v>490</v>
      </c>
      <c r="D54" s="58" t="s">
        <v>480</v>
      </c>
      <c r="E54" s="58" t="s">
        <v>491</v>
      </c>
      <c r="F54" s="40"/>
      <c r="G54" s="40"/>
      <c r="H54" s="77" t="n">
        <f aca="false">SUM(V54:Y54)</f>
        <v>8</v>
      </c>
      <c r="I54" s="77" t="n">
        <f aca="false">SUM(Z54:AC54)</f>
        <v>6</v>
      </c>
      <c r="J54" s="77" t="n">
        <f aca="false">SUM(AD54:AG54)</f>
        <v>6</v>
      </c>
      <c r="K54" s="77" t="n">
        <f aca="false">SUM(AH54:AK54)</f>
        <v>6</v>
      </c>
      <c r="L54" s="77" t="n">
        <f aca="false">SUM(AL54:AO54)</f>
        <v>6</v>
      </c>
      <c r="N54" s="40"/>
      <c r="O54" s="40"/>
      <c r="P54" s="40"/>
      <c r="Q54" s="40"/>
      <c r="R54" s="40"/>
      <c r="S54" s="40"/>
      <c r="T54" s="40"/>
      <c r="U54" s="40"/>
      <c r="V54" s="80" t="n">
        <v>2</v>
      </c>
      <c r="W54" s="69" t="n">
        <v>2</v>
      </c>
      <c r="X54" s="77" t="n">
        <f aca="false">'Key Drivers'!H47</f>
        <v>2</v>
      </c>
      <c r="Y54" s="77" t="n">
        <f aca="false">'Key Drivers'!H47</f>
        <v>2</v>
      </c>
      <c r="Z54" s="77" t="n">
        <f aca="false">'Key Drivers'!I47</f>
        <v>1.5</v>
      </c>
      <c r="AA54" s="77" t="n">
        <f aca="false">'Key Drivers'!I47</f>
        <v>1.5</v>
      </c>
      <c r="AB54" s="77" t="n">
        <f aca="false">'Key Drivers'!I47</f>
        <v>1.5</v>
      </c>
      <c r="AC54" s="77" t="n">
        <f aca="false">'Key Drivers'!I47</f>
        <v>1.5</v>
      </c>
      <c r="AD54" s="77" t="n">
        <f aca="false">'Key Drivers'!J47</f>
        <v>1.5</v>
      </c>
      <c r="AE54" s="77" t="n">
        <f aca="false">'Key Drivers'!J47</f>
        <v>1.5</v>
      </c>
      <c r="AF54" s="77" t="n">
        <f aca="false">'Key Drivers'!J47</f>
        <v>1.5</v>
      </c>
      <c r="AG54" s="77" t="n">
        <f aca="false">'Key Drivers'!J47</f>
        <v>1.5</v>
      </c>
      <c r="AH54" s="77" t="n">
        <f aca="false">'Key Drivers'!K47</f>
        <v>1.5</v>
      </c>
      <c r="AI54" s="77" t="n">
        <f aca="false">'Key Drivers'!K47</f>
        <v>1.5</v>
      </c>
      <c r="AJ54" s="77" t="n">
        <f aca="false">'Key Drivers'!K47</f>
        <v>1.5</v>
      </c>
      <c r="AK54" s="77" t="n">
        <f aca="false">'Key Drivers'!K47</f>
        <v>1.5</v>
      </c>
      <c r="AL54" s="77" t="n">
        <f aca="false">'Key Drivers'!L47</f>
        <v>1.5</v>
      </c>
      <c r="AM54" s="77" t="n">
        <f aca="false">'Key Drivers'!L47</f>
        <v>1.5</v>
      </c>
      <c r="AN54" s="77" t="n">
        <f aca="false">'Key Drivers'!L47</f>
        <v>1.5</v>
      </c>
      <c r="AO54" s="77" t="n">
        <f aca="false">'Key Drivers'!L47</f>
        <v>1.5</v>
      </c>
    </row>
    <row r="55" customFormat="false" ht="15" hidden="false" customHeight="false" outlineLevel="0" collapsed="false">
      <c r="C55" s="48" t="s">
        <v>492</v>
      </c>
      <c r="D55" s="58" t="s">
        <v>480</v>
      </c>
      <c r="E55" s="58" t="s">
        <v>493</v>
      </c>
      <c r="F55" s="81" t="n">
        <f aca="false">SUM(N55:Q55)</f>
        <v>20.2</v>
      </c>
      <c r="G55" s="81" t="n">
        <f aca="false">SUM(R55:U55)</f>
        <v>29.8</v>
      </c>
      <c r="H55" s="82" t="n">
        <f aca="false">SUM(V55:Y55)</f>
        <v>39.4928</v>
      </c>
      <c r="I55" s="82" t="n">
        <f aca="false">SUM(Z55:AC55)</f>
        <v>31.3757591762959</v>
      </c>
      <c r="J55" s="82" t="n">
        <f aca="false">SUM(AD55:AG55)</f>
        <v>31.5637076679935</v>
      </c>
      <c r="K55" s="82" t="n">
        <f aca="false">SUM(AH55:AK55)</f>
        <v>30.3243549221845</v>
      </c>
      <c r="L55" s="82" t="n">
        <f aca="false">SUM(AL55:AO55)</f>
        <v>28.6768297037672</v>
      </c>
      <c r="N55" s="81" t="n">
        <f aca="false">'GEV Quarterly'!B256</f>
        <v>4.9</v>
      </c>
      <c r="O55" s="81" t="n">
        <f aca="false">'GEV Quarterly'!C256</f>
        <v>4.1</v>
      </c>
      <c r="P55" s="81" t="n">
        <f aca="false">'GEV Quarterly'!D256</f>
        <v>5.1</v>
      </c>
      <c r="Q55" s="81" t="n">
        <f aca="false">'GEV Quarterly'!E256</f>
        <v>6.1</v>
      </c>
      <c r="R55" s="81" t="n">
        <f aca="false">'GEV Quarterly'!F256</f>
        <v>7.1</v>
      </c>
      <c r="S55" s="81" t="n">
        <f aca="false">'GEV Quarterly'!G256</f>
        <v>5.1</v>
      </c>
      <c r="T55" s="81" t="n">
        <f aca="false">'GEV Quarterly'!H256</f>
        <v>7.4</v>
      </c>
      <c r="U55" s="81" t="n">
        <f aca="false">'GEV Quarterly'!I256</f>
        <v>10.2</v>
      </c>
      <c r="V55" s="81" t="n">
        <f aca="false">'GEV Quarterly'!J256</f>
        <v>8.1</v>
      </c>
      <c r="W55" s="81" t="n">
        <f aca="false">'GEV Quarterly'!K256</f>
        <v>12.1</v>
      </c>
      <c r="X55" s="82" t="n">
        <f aca="false">X53+X54</f>
        <v>9.56</v>
      </c>
      <c r="Y55" s="82" t="n">
        <f aca="false">Y53+Y54</f>
        <v>9.7328</v>
      </c>
      <c r="Z55" s="82" t="n">
        <f aca="false">Z53+Z54</f>
        <v>7.742184</v>
      </c>
      <c r="AA55" s="82" t="n">
        <f aca="false">AA53+AA54</f>
        <v>7.81486014</v>
      </c>
      <c r="AB55" s="82" t="n">
        <f aca="false">AB53+AB54</f>
        <v>7.88008697565</v>
      </c>
      <c r="AC55" s="82" t="n">
        <f aca="false">AC53+AC54</f>
        <v>7.93862806064588</v>
      </c>
      <c r="AD55" s="82" t="n">
        <f aca="false">AD53+AD54</f>
        <v>7.99116868442967</v>
      </c>
      <c r="AE55" s="82" t="n">
        <f aca="false">AE53+AE54</f>
        <v>7.91957389427563</v>
      </c>
      <c r="AF55" s="82" t="n">
        <f aca="false">AF53+AF54</f>
        <v>7.85531757011238</v>
      </c>
      <c r="AG55" s="82" t="n">
        <f aca="false">AG53+AG54</f>
        <v>7.79764751917586</v>
      </c>
      <c r="AH55" s="82" t="n">
        <f aca="false">AH53+AH54</f>
        <v>7.74588864846034</v>
      </c>
      <c r="AI55" s="82" t="n">
        <f aca="false">AI53+AI54</f>
        <v>7.62818506199315</v>
      </c>
      <c r="AJ55" s="82" t="n">
        <f aca="false">AJ53+AJ54</f>
        <v>7.52254609313885</v>
      </c>
      <c r="AK55" s="82" t="n">
        <f aca="false">AK53+AK54</f>
        <v>7.42773511859212</v>
      </c>
      <c r="AL55" s="82" t="n">
        <f aca="false">AL53+AL54</f>
        <v>7.34264226893643</v>
      </c>
      <c r="AM55" s="82" t="n">
        <f aca="false">AM53+AM54</f>
        <v>7.21877143637044</v>
      </c>
      <c r="AN55" s="82" t="n">
        <f aca="false">AN53+AN54</f>
        <v>7.10759736414247</v>
      </c>
      <c r="AO55" s="82" t="n">
        <f aca="false">AO53+AO54</f>
        <v>7.00781863431787</v>
      </c>
    </row>
    <row r="56" customFormat="false" ht="15" hidden="false" customHeight="false" outlineLevel="0" collapsed="false">
      <c r="C56" s="40" t="s">
        <v>494</v>
      </c>
      <c r="D56" s="58" t="s">
        <v>480</v>
      </c>
      <c r="E56" s="58" t="s">
        <v>495</v>
      </c>
      <c r="F56" s="40"/>
      <c r="G56" s="40"/>
      <c r="H56" s="77" t="n">
        <f aca="false">SUM(V56:Y56)</f>
        <v>-0.161032812499997</v>
      </c>
      <c r="I56" s="77" t="n">
        <f aca="false">SUM(Z56:AC56)</f>
        <v>0.337291270205326</v>
      </c>
      <c r="J56" s="77" t="n">
        <f aca="false">SUM(AD56:AG56)</f>
        <v>0.391331450896539</v>
      </c>
      <c r="K56" s="77" t="n">
        <f aca="false">SUM(AH56:AK56)</f>
        <v>0.429647125588516</v>
      </c>
      <c r="L56" s="77" t="n">
        <f aca="false">SUM(AL56:AO56)</f>
        <v>0.446478478091053</v>
      </c>
      <c r="N56" s="40"/>
      <c r="O56" s="40"/>
      <c r="P56" s="40"/>
      <c r="Q56" s="40"/>
      <c r="R56" s="40"/>
      <c r="S56" s="40"/>
      <c r="T56" s="40"/>
      <c r="U56" s="40"/>
      <c r="V56" s="78" t="n">
        <f aca="false">V52+V55-V57-V58</f>
        <v>-0.100000000000001</v>
      </c>
      <c r="W56" s="78" t="n">
        <f aca="false">W52+W55-W57-W58</f>
        <v>-0.199999999999996</v>
      </c>
      <c r="X56" s="77" t="n">
        <f aca="false">X52*'Key Drivers'!H52</f>
        <v>0.06625</v>
      </c>
      <c r="Y56" s="77" t="n">
        <f aca="false">Y52*'Key Drivers'!H52</f>
        <v>0.0727171875</v>
      </c>
      <c r="Z56" s="77" t="n">
        <f aca="false">Z52*'Key Drivers'!I52</f>
        <v>0.078792291015625</v>
      </c>
      <c r="AA56" s="77" t="n">
        <f aca="false">AA52*'Key Drivers'!I52</f>
        <v>0.0825590306518555</v>
      </c>
      <c r="AB56" s="77" t="n">
        <f aca="false">AB52*'Key Drivers'!I52</f>
        <v>0.0861794070385407</v>
      </c>
      <c r="AC56" s="77" t="n">
        <f aca="false">AC52*'Key Drivers'!I52</f>
        <v>0.089760541499305</v>
      </c>
      <c r="AD56" s="77" t="n">
        <f aca="false">AD52*'Key Drivers'!J52</f>
        <v>0.0931778758982382</v>
      </c>
      <c r="AE56" s="77" t="n">
        <f aca="false">AE52*'Key Drivers'!J52</f>
        <v>0.0964953644089025</v>
      </c>
      <c r="AF56" s="77" t="n">
        <f aca="false">AF52*'Key Drivers'!J52</f>
        <v>0.0994892125712359</v>
      </c>
      <c r="AG56" s="77" t="n">
        <f aca="false">AG52*'Key Drivers'!J52</f>
        <v>0.102168998018162</v>
      </c>
      <c r="AH56" s="77" t="n">
        <f aca="false">AH52*'Key Drivers'!K52</f>
        <v>0.104543346169609</v>
      </c>
      <c r="AI56" s="77" t="n">
        <f aca="false">AI52*'Key Drivers'!K52</f>
        <v>0.106735027797473</v>
      </c>
      <c r="AJ56" s="77" t="n">
        <f aca="false">AJ52*'Key Drivers'!K52</f>
        <v>0.108489340340217</v>
      </c>
      <c r="AK56" s="77" t="n">
        <f aca="false">AK52*'Key Drivers'!K52</f>
        <v>0.109879411281216</v>
      </c>
      <c r="AL56" s="77" t="n">
        <f aca="false">AL52*'Key Drivers'!L52</f>
        <v>0.110861730915354</v>
      </c>
      <c r="AM56" s="77" t="n">
        <f aca="false">AM52*'Key Drivers'!L52</f>
        <v>0.111621456587881</v>
      </c>
      <c r="AN56" s="77" t="n">
        <f aca="false">AN52*'Key Drivers'!L52</f>
        <v>0.111995394062609</v>
      </c>
      <c r="AO56" s="77" t="n">
        <f aca="false">AO52*'Key Drivers'!L52</f>
        <v>0.111999896525209</v>
      </c>
    </row>
    <row r="57" customFormat="false" ht="15" hidden="false" customHeight="false" outlineLevel="0" collapsed="false">
      <c r="C57" s="40" t="s">
        <v>496</v>
      </c>
      <c r="D57" s="58" t="s">
        <v>480</v>
      </c>
      <c r="E57" s="58" t="s">
        <v>497</v>
      </c>
      <c r="F57" s="78" t="n">
        <f aca="false">SUM(N57:Q57)</f>
        <v>11.9</v>
      </c>
      <c r="G57" s="78" t="n">
        <f aca="false">SUM(R57:U57)</f>
        <v>15.3</v>
      </c>
      <c r="H57" s="77" t="n">
        <f aca="false">SUM(V57:Y57)</f>
        <v>16.62</v>
      </c>
      <c r="I57" s="77" t="n">
        <f aca="false">SUM(Z57:AC57)</f>
        <v>19.53</v>
      </c>
      <c r="J57" s="77" t="n">
        <f aca="false">SUM(AD57:AG57)</f>
        <v>22.08</v>
      </c>
      <c r="K57" s="77" t="n">
        <f aca="false">SUM(AH57:AK57)</f>
        <v>24.84</v>
      </c>
      <c r="L57" s="77" t="n">
        <f aca="false">SUM(AL57:AO57)</f>
        <v>27.6</v>
      </c>
      <c r="N57" s="78" t="n">
        <f aca="false">'GEV Quarterly'!B262</f>
        <v>2.3</v>
      </c>
      <c r="O57" s="78" t="n">
        <f aca="false">'GEV Quarterly'!C262</f>
        <v>1.5</v>
      </c>
      <c r="P57" s="78" t="n">
        <f aca="false">'GEV Quarterly'!D262</f>
        <v>3.3</v>
      </c>
      <c r="Q57" s="78" t="n">
        <f aca="false">'GEV Quarterly'!E262</f>
        <v>4.8</v>
      </c>
      <c r="R57" s="78" t="n">
        <f aca="false">'GEV Quarterly'!F262</f>
        <v>3</v>
      </c>
      <c r="S57" s="78" t="n">
        <f aca="false">'GEV Quarterly'!G262</f>
        <v>5.2</v>
      </c>
      <c r="T57" s="78" t="n">
        <f aca="false">'GEV Quarterly'!H262</f>
        <v>4</v>
      </c>
      <c r="U57" s="78" t="n">
        <f aca="false">'GEV Quarterly'!I262</f>
        <v>3.1</v>
      </c>
      <c r="V57" s="78" t="n">
        <f aca="false">'GEV Quarterly'!J262</f>
        <v>4.2</v>
      </c>
      <c r="W57" s="78" t="n">
        <f aca="false">'GEV Quarterly'!K262</f>
        <v>3.3</v>
      </c>
      <c r="X57" s="77" t="n">
        <f aca="false">MIN(X60*X61,X52-X56)</f>
        <v>4.32</v>
      </c>
      <c r="Y57" s="77" t="n">
        <f aca="false">MIN(Y60*Y61,Y52-Y56)</f>
        <v>4.8</v>
      </c>
      <c r="Z57" s="77" t="n">
        <f aca="false">MIN(Z60*Z61,Z52-Z56)</f>
        <v>4.65</v>
      </c>
      <c r="AA57" s="77" t="n">
        <f aca="false">MIN(AA60*AA61,AA52-AA56)</f>
        <v>4.836</v>
      </c>
      <c r="AB57" s="77" t="n">
        <f aca="false">MIN(AB60*AB61,AB52-AB56)</f>
        <v>4.929</v>
      </c>
      <c r="AC57" s="77" t="n">
        <f aca="false">MIN(AC60*AC61,AC52-AC56)</f>
        <v>5.115</v>
      </c>
      <c r="AD57" s="77" t="n">
        <f aca="false">MIN(AD60*AD61,AD52-AD56)</f>
        <v>5.244</v>
      </c>
      <c r="AE57" s="77" t="n">
        <f aca="false">MIN(AE60*AE61,AE52-AE56)</f>
        <v>5.428</v>
      </c>
      <c r="AF57" s="77" t="n">
        <f aca="false">MIN(AF60*AF61,AF52-AF56)</f>
        <v>5.612</v>
      </c>
      <c r="AG57" s="77" t="n">
        <f aca="false">MIN(AG60*AG61,AG52-AG56)</f>
        <v>5.796</v>
      </c>
      <c r="AH57" s="77" t="n">
        <f aca="false">MIN(AH60*AH61,AH52-AH56)</f>
        <v>5.888</v>
      </c>
      <c r="AI57" s="77" t="n">
        <f aca="false">MIN(AI60*AI61,AI52-AI56)</f>
        <v>6.118</v>
      </c>
      <c r="AJ57" s="77" t="n">
        <f aca="false">MIN(AJ60*AJ61,AJ52-AJ56)</f>
        <v>6.302</v>
      </c>
      <c r="AK57" s="77" t="n">
        <f aca="false">MIN(AK60*AK61,AK52-AK56)</f>
        <v>6.532</v>
      </c>
      <c r="AL57" s="77" t="n">
        <f aca="false">MIN(AL60*AL61,AL52-AL56)</f>
        <v>6.624</v>
      </c>
      <c r="AM57" s="77" t="n">
        <f aca="false">MIN(AM60*AM61,AM52-AM56)</f>
        <v>6.808</v>
      </c>
      <c r="AN57" s="77" t="n">
        <f aca="false">MIN(AN60*AN61,AN52-AN56)</f>
        <v>6.992</v>
      </c>
      <c r="AO57" s="77" t="n">
        <f aca="false">MIN(AO60*AO61,AO52-AO56)</f>
        <v>7.176</v>
      </c>
    </row>
    <row r="58" customFormat="false" ht="15" hidden="false" customHeight="false" outlineLevel="0" collapsed="false">
      <c r="C58" s="42" t="s">
        <v>498</v>
      </c>
      <c r="D58" s="63" t="s">
        <v>480</v>
      </c>
      <c r="E58" s="63" t="s">
        <v>499</v>
      </c>
      <c r="F58" s="73"/>
      <c r="G58" s="71" t="n">
        <f aca="false">U58</f>
        <v>40</v>
      </c>
      <c r="H58" s="72" t="n">
        <f aca="false">Y58</f>
        <v>63.0338328125</v>
      </c>
      <c r="I58" s="72" t="n">
        <f aca="false">AC58</f>
        <v>74.5423007185906</v>
      </c>
      <c r="J58" s="72" t="n">
        <f aca="false">AG58</f>
        <v>83.6346769356876</v>
      </c>
      <c r="K58" s="72" t="n">
        <f aca="false">AK58</f>
        <v>88.6893847322835</v>
      </c>
      <c r="L58" s="72" t="n">
        <f aca="false">AO58</f>
        <v>89.3197359579597</v>
      </c>
      <c r="N58" s="73"/>
      <c r="O58" s="73"/>
      <c r="P58" s="73"/>
      <c r="Q58" s="73"/>
      <c r="R58" s="73"/>
      <c r="S58" s="73"/>
      <c r="T58" s="73"/>
      <c r="U58" s="79" t="n">
        <v>40</v>
      </c>
      <c r="V58" s="79" t="n">
        <v>44</v>
      </c>
      <c r="W58" s="79" t="n">
        <v>53</v>
      </c>
      <c r="X58" s="72" t="n">
        <f aca="false">X52+X55-X56-X57</f>
        <v>58.17375</v>
      </c>
      <c r="Y58" s="72" t="n">
        <f aca="false">Y52+Y55-Y56-Y57</f>
        <v>63.0338328125</v>
      </c>
      <c r="Z58" s="72" t="n">
        <f aca="false">Z52+Z55-Z56-Z57</f>
        <v>66.0472245214844</v>
      </c>
      <c r="AA58" s="72" t="n">
        <f aca="false">AA52+AA55-AA56-AA57</f>
        <v>68.9435256308325</v>
      </c>
      <c r="AB58" s="72" t="n">
        <f aca="false">AB52+AB55-AB56-AB57</f>
        <v>71.808433199444</v>
      </c>
      <c r="AC58" s="72" t="n">
        <f aca="false">AC52+AC55-AC56-AC57</f>
        <v>74.5423007185906</v>
      </c>
      <c r="AD58" s="72" t="n">
        <f aca="false">AD52+AD55-AD56-AD57</f>
        <v>77.196291527122</v>
      </c>
      <c r="AE58" s="72" t="n">
        <f aca="false">AE52+AE55-AE56-AE57</f>
        <v>79.5913700569887</v>
      </c>
      <c r="AF58" s="72" t="n">
        <f aca="false">AF52+AF55-AF56-AF57</f>
        <v>81.7351984145299</v>
      </c>
      <c r="AG58" s="72" t="n">
        <f aca="false">AG52+AG55-AG56-AG57</f>
        <v>83.6346769356876</v>
      </c>
      <c r="AH58" s="72" t="n">
        <f aca="false">AH52+AH55-AH56-AH57</f>
        <v>85.3880222379783</v>
      </c>
      <c r="AI58" s="72" t="n">
        <f aca="false">AI52+AI55-AI56-AI57</f>
        <v>86.791472272174</v>
      </c>
      <c r="AJ58" s="72" t="n">
        <f aca="false">AJ52+AJ55-AJ56-AJ57</f>
        <v>87.9035290249726</v>
      </c>
      <c r="AK58" s="72" t="n">
        <f aca="false">AK52+AK55-AK56-AK57</f>
        <v>88.6893847322835</v>
      </c>
      <c r="AL58" s="72" t="n">
        <f aca="false">AL52+AL55-AL56-AL57</f>
        <v>89.2971652703046</v>
      </c>
      <c r="AM58" s="72" t="n">
        <f aca="false">AM52+AM55-AM56-AM57</f>
        <v>89.5963152500872</v>
      </c>
      <c r="AN58" s="72" t="n">
        <f aca="false">AN52+AN55-AN56-AN57</f>
        <v>89.599917220167</v>
      </c>
      <c r="AO58" s="72" t="n">
        <f aca="false">AO52+AO55-AO56-AO57</f>
        <v>89.3197359579597</v>
      </c>
    </row>
    <row r="60" customFormat="false" ht="15" hidden="false" customHeight="false" outlineLevel="0" collapsed="false">
      <c r="C60" s="40" t="s">
        <v>500</v>
      </c>
      <c r="D60" s="58" t="s">
        <v>480</v>
      </c>
      <c r="E60" s="58" t="s">
        <v>501</v>
      </c>
      <c r="F60" s="40"/>
      <c r="G60" s="40"/>
      <c r="H60" s="77" t="n">
        <f aca="false">SUM(V60:Y60)</f>
        <v>9.5</v>
      </c>
      <c r="I60" s="77" t="n">
        <f aca="false">SUM(Z60:AC60)</f>
        <v>21</v>
      </c>
      <c r="J60" s="77" t="n">
        <f aca="false">SUM(AD60:AG60)</f>
        <v>24</v>
      </c>
      <c r="K60" s="77" t="n">
        <f aca="false">SUM(AH60:AK60)</f>
        <v>27</v>
      </c>
      <c r="L60" s="77" t="n">
        <f aca="false">SUM(AL60:AO60)</f>
        <v>30</v>
      </c>
      <c r="N60" s="40"/>
      <c r="O60" s="40"/>
      <c r="P60" s="40"/>
      <c r="Q60" s="40"/>
      <c r="R60" s="40"/>
      <c r="S60" s="40"/>
      <c r="T60" s="40"/>
      <c r="U60" s="40"/>
      <c r="V60" s="40"/>
      <c r="W60" s="40"/>
      <c r="X60" s="77" t="n">
        <f aca="false">'Key Drivers'!X95</f>
        <v>4.5</v>
      </c>
      <c r="Y60" s="77" t="n">
        <f aca="false">'Key Drivers'!Y95</f>
        <v>5</v>
      </c>
      <c r="Z60" s="77" t="n">
        <f aca="false">'Key Drivers'!Z95</f>
        <v>5</v>
      </c>
      <c r="AA60" s="77" t="n">
        <f aca="false">'Key Drivers'!AA95</f>
        <v>5.2</v>
      </c>
      <c r="AB60" s="77" t="n">
        <f aca="false">'Key Drivers'!AB95</f>
        <v>5.3</v>
      </c>
      <c r="AC60" s="77" t="n">
        <f aca="false">'Key Drivers'!AC95</f>
        <v>5.5</v>
      </c>
      <c r="AD60" s="77" t="n">
        <f aca="false">'Key Drivers'!AD95</f>
        <v>5.7</v>
      </c>
      <c r="AE60" s="77" t="n">
        <f aca="false">'Key Drivers'!AE95</f>
        <v>5.9</v>
      </c>
      <c r="AF60" s="77" t="n">
        <f aca="false">'Key Drivers'!AF95</f>
        <v>6.1</v>
      </c>
      <c r="AG60" s="77" t="n">
        <f aca="false">'Key Drivers'!AG95</f>
        <v>6.3</v>
      </c>
      <c r="AH60" s="77" t="n">
        <f aca="false">'Key Drivers'!AH95</f>
        <v>6.4</v>
      </c>
      <c r="AI60" s="77" t="n">
        <f aca="false">'Key Drivers'!AI95</f>
        <v>6.65</v>
      </c>
      <c r="AJ60" s="77" t="n">
        <f aca="false">'Key Drivers'!AJ95</f>
        <v>6.85</v>
      </c>
      <c r="AK60" s="77" t="n">
        <f aca="false">'Key Drivers'!AK95</f>
        <v>7.1</v>
      </c>
      <c r="AL60" s="77" t="n">
        <f aca="false">'Key Drivers'!AL95</f>
        <v>7.2</v>
      </c>
      <c r="AM60" s="77" t="n">
        <f aca="false">'Key Drivers'!AM95</f>
        <v>7.4</v>
      </c>
      <c r="AN60" s="77" t="n">
        <f aca="false">'Key Drivers'!AN95</f>
        <v>7.6</v>
      </c>
      <c r="AO60" s="77" t="n">
        <f aca="false">'Key Drivers'!AO95</f>
        <v>7.8</v>
      </c>
    </row>
    <row r="61" customFormat="false" ht="15" hidden="false" customHeight="false" outlineLevel="0" collapsed="false">
      <c r="C61" s="40" t="s">
        <v>502</v>
      </c>
      <c r="D61" s="58"/>
      <c r="E61" s="58"/>
      <c r="F61" s="40"/>
      <c r="G61" s="40"/>
      <c r="H61" s="68"/>
      <c r="I61" s="83" t="n">
        <f aca="false">I57/I60</f>
        <v>0.93</v>
      </c>
      <c r="J61" s="83" t="n">
        <f aca="false">J57/J60</f>
        <v>0.92</v>
      </c>
      <c r="K61" s="83" t="n">
        <f aca="false">K57/K60</f>
        <v>0.92</v>
      </c>
      <c r="L61" s="83" t="n">
        <f aca="false">L57/L60</f>
        <v>0.92</v>
      </c>
      <c r="N61" s="40"/>
      <c r="O61" s="40"/>
      <c r="P61" s="40"/>
      <c r="Q61" s="40"/>
      <c r="R61" s="40"/>
      <c r="S61" s="40"/>
      <c r="T61" s="40"/>
      <c r="U61" s="40"/>
      <c r="V61" s="40"/>
      <c r="W61" s="40"/>
      <c r="X61" s="83" t="n">
        <f aca="false">'Key Drivers'!H57</f>
        <v>0.96</v>
      </c>
      <c r="Y61" s="83" t="n">
        <f aca="false">'Key Drivers'!H57</f>
        <v>0.96</v>
      </c>
      <c r="Z61" s="83" t="n">
        <f aca="false">'Key Drivers'!I57</f>
        <v>0.93</v>
      </c>
      <c r="AA61" s="83" t="n">
        <f aca="false">'Key Drivers'!I57</f>
        <v>0.93</v>
      </c>
      <c r="AB61" s="83" t="n">
        <f aca="false">'Key Drivers'!I57</f>
        <v>0.93</v>
      </c>
      <c r="AC61" s="83" t="n">
        <f aca="false">'Key Drivers'!I57</f>
        <v>0.93</v>
      </c>
      <c r="AD61" s="83" t="n">
        <f aca="false">'Key Drivers'!J57</f>
        <v>0.92</v>
      </c>
      <c r="AE61" s="83" t="n">
        <f aca="false">'Key Drivers'!J57</f>
        <v>0.92</v>
      </c>
      <c r="AF61" s="83" t="n">
        <f aca="false">'Key Drivers'!J57</f>
        <v>0.92</v>
      </c>
      <c r="AG61" s="83" t="n">
        <f aca="false">'Key Drivers'!J57</f>
        <v>0.92</v>
      </c>
      <c r="AH61" s="83" t="n">
        <f aca="false">'Key Drivers'!K57</f>
        <v>0.92</v>
      </c>
      <c r="AI61" s="83" t="n">
        <f aca="false">'Key Drivers'!K57</f>
        <v>0.92</v>
      </c>
      <c r="AJ61" s="83" t="n">
        <f aca="false">'Key Drivers'!K57</f>
        <v>0.92</v>
      </c>
      <c r="AK61" s="83" t="n">
        <f aca="false">'Key Drivers'!K57</f>
        <v>0.92</v>
      </c>
      <c r="AL61" s="83" t="n">
        <f aca="false">'Key Drivers'!L57</f>
        <v>0.92</v>
      </c>
      <c r="AM61" s="83" t="n">
        <f aca="false">'Key Drivers'!L57</f>
        <v>0.92</v>
      </c>
      <c r="AN61" s="83" t="n">
        <f aca="false">'Key Drivers'!L57</f>
        <v>0.92</v>
      </c>
      <c r="AO61" s="83" t="n">
        <f aca="false">'Key Drivers'!L57</f>
        <v>0.92</v>
      </c>
    </row>
    <row r="62" customFormat="false" ht="15" hidden="false" customHeight="false" outlineLevel="0" collapsed="false">
      <c r="C62" s="46" t="s">
        <v>503</v>
      </c>
      <c r="D62" s="58" t="s">
        <v>504</v>
      </c>
      <c r="E62" s="58"/>
      <c r="F62" s="84" t="n">
        <f aca="false">F55/F57</f>
        <v>1.69747899159664</v>
      </c>
      <c r="G62" s="84" t="n">
        <f aca="false">G55/G57</f>
        <v>1.94771241830065</v>
      </c>
      <c r="H62" s="85" t="n">
        <f aca="false">H55/H57</f>
        <v>2.37622141997593</v>
      </c>
      <c r="I62" s="85" t="n">
        <f aca="false">I55/I57</f>
        <v>1.60654168849441</v>
      </c>
      <c r="J62" s="85" t="n">
        <f aca="false">J55/J57</f>
        <v>1.42951574583304</v>
      </c>
      <c r="K62" s="85" t="n">
        <f aca="false">K55/K57</f>
        <v>1.22078723519261</v>
      </c>
      <c r="L62" s="85" t="n">
        <f aca="false">L55/L57</f>
        <v>1.03901556897707</v>
      </c>
      <c r="N62" s="84" t="n">
        <f aca="false">N55/N57</f>
        <v>2.1304347826087</v>
      </c>
      <c r="O62" s="84" t="n">
        <f aca="false">O55/O57</f>
        <v>2.73333333333333</v>
      </c>
      <c r="P62" s="84" t="n">
        <f aca="false">P55/P57</f>
        <v>1.54545454545455</v>
      </c>
      <c r="Q62" s="84" t="n">
        <f aca="false">Q55/Q57</f>
        <v>1.27083333333333</v>
      </c>
      <c r="R62" s="84" t="n">
        <f aca="false">R55/R57</f>
        <v>2.36666666666667</v>
      </c>
      <c r="S62" s="84" t="n">
        <f aca="false">S55/S57</f>
        <v>0.980769230769231</v>
      </c>
      <c r="T62" s="84" t="n">
        <f aca="false">T55/T57</f>
        <v>1.85</v>
      </c>
      <c r="U62" s="84" t="n">
        <f aca="false">U55/U57</f>
        <v>3.29032258064516</v>
      </c>
      <c r="V62" s="84" t="n">
        <f aca="false">V55/V57</f>
        <v>1.92857142857143</v>
      </c>
      <c r="W62" s="84" t="n">
        <f aca="false">W55/W57</f>
        <v>3.66666666666667</v>
      </c>
      <c r="X62" s="85" t="n">
        <f aca="false">X55/X57</f>
        <v>2.21296296296296</v>
      </c>
      <c r="Y62" s="85" t="n">
        <f aca="false">Y55/Y57</f>
        <v>2.02766666666667</v>
      </c>
      <c r="Z62" s="85" t="n">
        <f aca="false">Z55/Z57</f>
        <v>1.66498580645161</v>
      </c>
      <c r="AA62" s="85" t="n">
        <f aca="false">AA55/AA57</f>
        <v>1.61597604218362</v>
      </c>
      <c r="AB62" s="85" t="n">
        <f aca="false">AB55/AB57</f>
        <v>1.59871920788192</v>
      </c>
      <c r="AC62" s="85" t="n">
        <f aca="false">AC55/AC57</f>
        <v>1.55202894636283</v>
      </c>
      <c r="AD62" s="85" t="n">
        <f aca="false">AD55/AD57</f>
        <v>1.5238689329576</v>
      </c>
      <c r="AE62" s="85" t="n">
        <f aca="false">AE55/AE57</f>
        <v>1.45902245657252</v>
      </c>
      <c r="AF62" s="85" t="n">
        <f aca="false">AF55/AF57</f>
        <v>1.3997358464206</v>
      </c>
      <c r="AG62" s="85" t="n">
        <f aca="false">AG55/AG57</f>
        <v>1.34534981352241</v>
      </c>
      <c r="AH62" s="85" t="n">
        <f aca="false">AH55/AH57</f>
        <v>1.31553815361079</v>
      </c>
      <c r="AI62" s="85" t="n">
        <f aca="false">AI55/AI57</f>
        <v>1.24684293265661</v>
      </c>
      <c r="AJ62" s="85" t="n">
        <f aca="false">AJ55/AJ57</f>
        <v>1.19367599065993</v>
      </c>
      <c r="AK62" s="85" t="n">
        <f aca="false">AK55/AK57</f>
        <v>1.1371302998457</v>
      </c>
      <c r="AL62" s="85" t="n">
        <f aca="false">AL55/AL57</f>
        <v>1.10849068069692</v>
      </c>
      <c r="AM62" s="85" t="n">
        <f aca="false">AM55/AM57</f>
        <v>1.06033657996041</v>
      </c>
      <c r="AN62" s="85" t="n">
        <f aca="false">AN55/AN57</f>
        <v>1.01653280379612</v>
      </c>
      <c r="AO62" s="85" t="n">
        <f aca="false">AO55/AO57</f>
        <v>0.976563354838053</v>
      </c>
    </row>
    <row r="63" customFormat="false" ht="15" hidden="false" customHeight="false" outlineLevel="0" collapsed="false">
      <c r="C63" s="40" t="s">
        <v>505</v>
      </c>
      <c r="D63" s="58" t="s">
        <v>480</v>
      </c>
      <c r="E63" s="58" t="s">
        <v>506</v>
      </c>
      <c r="F63" s="40"/>
      <c r="G63" s="78" t="n">
        <f aca="false">G58+G49</f>
        <v>83</v>
      </c>
      <c r="H63" s="77" t="n">
        <f aca="false">H58+H49</f>
        <v>128.7410328125</v>
      </c>
      <c r="I63" s="77" t="n">
        <f aca="false">I58+I49</f>
        <v>142.87039213364</v>
      </c>
      <c r="J63" s="77" t="n">
        <f aca="false">J58+J49</f>
        <v>149.38087323527</v>
      </c>
      <c r="K63" s="77" t="n">
        <f aca="false">K58+K49</f>
        <v>150.190882300035</v>
      </c>
      <c r="L63" s="77" t="n">
        <f aca="false">L58+L49</f>
        <v>146.3541277927</v>
      </c>
      <c r="N63" s="40"/>
      <c r="O63" s="40"/>
      <c r="P63" s="40"/>
      <c r="Q63" s="40"/>
      <c r="R63" s="40"/>
      <c r="S63" s="40"/>
      <c r="T63" s="40"/>
      <c r="U63" s="78" t="n">
        <f aca="false">U58+U49</f>
        <v>83</v>
      </c>
      <c r="V63" s="78" t="n">
        <f aca="false">V58+V49</f>
        <v>100</v>
      </c>
      <c r="W63" s="78" t="n">
        <f aca="false">W58+W49</f>
        <v>116</v>
      </c>
      <c r="X63" s="77" t="n">
        <f aca="false">X58+X49</f>
        <v>122.61375</v>
      </c>
      <c r="Y63" s="77" t="n">
        <f aca="false">Y58+Y49</f>
        <v>128.7410328125</v>
      </c>
      <c r="Z63" s="77" t="n">
        <f aca="false">Z58+Z49</f>
        <v>132.519436521484</v>
      </c>
      <c r="AA63" s="77" t="n">
        <f aca="false">AA58+AA49</f>
        <v>136.102335900833</v>
      </c>
      <c r="AB63" s="77" t="n">
        <f aca="false">AB58+AB49</f>
        <v>139.583465416769</v>
      </c>
      <c r="AC63" s="77" t="n">
        <f aca="false">AC58+AC49</f>
        <v>142.87039213364</v>
      </c>
      <c r="AD63" s="77" t="n">
        <f aca="false">AD58+AD49</f>
        <v>144.770753572129</v>
      </c>
      <c r="AE63" s="77" t="n">
        <f aca="false">AE58+AE49</f>
        <v>146.489449742382</v>
      </c>
      <c r="AF63" s="77" t="n">
        <f aca="false">AF58+AF49</f>
        <v>148.026224932171</v>
      </c>
      <c r="AG63" s="77" t="n">
        <f aca="false">AG58+AG49</f>
        <v>149.38087323527</v>
      </c>
      <c r="AH63" s="77" t="n">
        <f aca="false">AH58+AH49</f>
        <v>149.895233416854</v>
      </c>
      <c r="AI63" s="77" t="n">
        <f aca="false">AI58+AI49</f>
        <v>150.186694305215</v>
      </c>
      <c r="AJ63" s="77" t="n">
        <f aca="false">AJ58+AJ49</f>
        <v>150.300740799627</v>
      </c>
      <c r="AK63" s="77" t="n">
        <f aca="false">AK58+AK49</f>
        <v>150.190882300035</v>
      </c>
      <c r="AL63" s="77" t="n">
        <f aca="false">AL58+AL49</f>
        <v>149.494759337362</v>
      </c>
      <c r="AM63" s="77" t="n">
        <f aca="false">AM58+AM49</f>
        <v>148.623655925271</v>
      </c>
      <c r="AN63" s="77" t="n">
        <f aca="false">AN58+AN49</f>
        <v>147.576955476145</v>
      </c>
      <c r="AO63" s="77" t="n">
        <f aca="false">AO58+AO49</f>
        <v>146.3541277927</v>
      </c>
    </row>
    <row r="64" customFormat="false" ht="15" hidden="false" customHeight="false" outlineLevel="0" collapsed="false">
      <c r="C64" s="46" t="s">
        <v>507</v>
      </c>
      <c r="D64" s="58" t="s">
        <v>508</v>
      </c>
      <c r="E64" s="58" t="s">
        <v>509</v>
      </c>
      <c r="F64" s="40"/>
      <c r="G64" s="86" t="n">
        <f aca="false">G58/G57</f>
        <v>2.61437908496732</v>
      </c>
      <c r="H64" s="87" t="n">
        <f aca="false">H58/H57</f>
        <v>3.7926493870337</v>
      </c>
      <c r="I64" s="87" t="n">
        <f aca="false">I58/I57</f>
        <v>3.81681007263648</v>
      </c>
      <c r="J64" s="87" t="n">
        <f aca="false">J58/J57</f>
        <v>3.78780239744962</v>
      </c>
      <c r="K64" s="87" t="n">
        <f aca="false">K58/K57</f>
        <v>3.57042611643654</v>
      </c>
      <c r="L64" s="87" t="n">
        <f aca="false">L58/L57</f>
        <v>3.23622231731738</v>
      </c>
      <c r="N64" s="40"/>
      <c r="O64" s="40"/>
      <c r="P64" s="40"/>
      <c r="Q64" s="40"/>
      <c r="R64" s="40"/>
      <c r="S64" s="40"/>
      <c r="T64" s="40"/>
      <c r="U64" s="86" t="n">
        <f aca="false">U58/(U57*4)</f>
        <v>3.2258064516129</v>
      </c>
      <c r="V64" s="86" t="n">
        <f aca="false">V58/(V57*4)</f>
        <v>2.61904761904762</v>
      </c>
      <c r="W64" s="86" t="n">
        <f aca="false">W58/(W57*4)</f>
        <v>4.01515151515152</v>
      </c>
      <c r="X64" s="87" t="n">
        <f aca="false">X58/(X57*4)</f>
        <v>3.36653645833333</v>
      </c>
      <c r="Y64" s="87" t="n">
        <f aca="false">Y58/(Y57*4)</f>
        <v>3.28301212565104</v>
      </c>
      <c r="Z64" s="87" t="n">
        <f aca="false">Z58/(Z57*4)</f>
        <v>3.55092604954217</v>
      </c>
      <c r="AA64" s="87" t="n">
        <f aca="false">AA58/(AA57*4)</f>
        <v>3.56407804129614</v>
      </c>
      <c r="AB64" s="87" t="n">
        <f aca="false">AB58/(AB57*4)</f>
        <v>3.64214004866322</v>
      </c>
      <c r="AC64" s="87" t="n">
        <f aca="false">AC58/(AC57*4)</f>
        <v>3.64331870569846</v>
      </c>
      <c r="AD64" s="87" t="n">
        <f aca="false">AD58/(AD57*4)</f>
        <v>3.68021984778423</v>
      </c>
      <c r="AE64" s="87" t="n">
        <f aca="false">AE58/(AE57*4)</f>
        <v>3.66577791345748</v>
      </c>
      <c r="AF64" s="87" t="n">
        <f aca="false">AF58/(AF57*4)</f>
        <v>3.64109044968504</v>
      </c>
      <c r="AG64" s="87" t="n">
        <f aca="false">AG58/(AG57*4)</f>
        <v>3.60743085471392</v>
      </c>
      <c r="AH64" s="87" t="n">
        <f aca="false">AH58/(AH57*4)</f>
        <v>3.6255104550772</v>
      </c>
      <c r="AI64" s="87" t="n">
        <f aca="false">AI58/(AI57*4)</f>
        <v>3.5465622863752</v>
      </c>
      <c r="AJ64" s="87" t="n">
        <f aca="false">AJ58/(AJ57*4)</f>
        <v>3.48712825392624</v>
      </c>
      <c r="AK64" s="87" t="n">
        <f aca="false">AK58/(AK57*4)</f>
        <v>3.39441919520375</v>
      </c>
      <c r="AL64" s="87" t="n">
        <f aca="false">AL58/(AL57*4)</f>
        <v>3.37021306122828</v>
      </c>
      <c r="AM64" s="87" t="n">
        <f aca="false">AM58/(AM57*4)</f>
        <v>3.29011145894856</v>
      </c>
      <c r="AN64" s="87" t="n">
        <f aca="false">AN58/(AN57*4)</f>
        <v>3.20365836742588</v>
      </c>
      <c r="AO64" s="87" t="n">
        <f aca="false">AO58/(AO57*4)</f>
        <v>3.11175222818979</v>
      </c>
    </row>
    <row r="65" customFormat="false" ht="15" hidden="false" customHeight="false" outlineLevel="0" collapsed="false">
      <c r="C65" s="46" t="s">
        <v>510</v>
      </c>
      <c r="D65" s="58" t="s">
        <v>508</v>
      </c>
      <c r="E65" s="58"/>
      <c r="F65" s="40"/>
      <c r="G65" s="86" t="n">
        <f aca="false">G63/G57</f>
        <v>5.42483660130719</v>
      </c>
      <c r="H65" s="87" t="n">
        <f aca="false">H63/H57</f>
        <v>7.74615119208785</v>
      </c>
      <c r="I65" s="87" t="n">
        <f aca="false">I63/I57</f>
        <v>7.31543226490731</v>
      </c>
      <c r="J65" s="87" t="n">
        <f aca="false">J63/J57</f>
        <v>6.76543809942346</v>
      </c>
      <c r="K65" s="87" t="n">
        <f aca="false">K63/K57</f>
        <v>6.04633181562139</v>
      </c>
      <c r="L65" s="87" t="n">
        <f aca="false">L63/L57</f>
        <v>5.30268578959056</v>
      </c>
      <c r="N65" s="40"/>
      <c r="O65" s="40"/>
      <c r="P65" s="40"/>
      <c r="Q65" s="40"/>
      <c r="R65" s="40"/>
      <c r="S65" s="40"/>
      <c r="T65" s="40"/>
      <c r="U65" s="86" t="n">
        <f aca="false">U63/(U57*4)</f>
        <v>6.69354838709677</v>
      </c>
      <c r="V65" s="86" t="n">
        <f aca="false">V63/(V57*4)</f>
        <v>5.95238095238095</v>
      </c>
      <c r="W65" s="86" t="n">
        <f aca="false">W63/(W57*4)</f>
        <v>8.78787878787879</v>
      </c>
      <c r="X65" s="87" t="n">
        <f aca="false">X63/(X57*4)</f>
        <v>7.095703125</v>
      </c>
      <c r="Y65" s="87" t="n">
        <f aca="false">Y63/(Y57*4)</f>
        <v>6.70526212565104</v>
      </c>
      <c r="Z65" s="87" t="n">
        <f aca="false">Z63/(Z57*4)</f>
        <v>7.12470088825185</v>
      </c>
      <c r="AA65" s="87" t="n">
        <f aca="false">AA63/(AA57*4)</f>
        <v>7.03589412225148</v>
      </c>
      <c r="AB65" s="87" t="n">
        <f aca="false">AB63/(AB57*4)</f>
        <v>7.0797050830173</v>
      </c>
      <c r="AC65" s="87" t="n">
        <f aca="false">AC63/(AC57*4)</f>
        <v>6.98291261650243</v>
      </c>
      <c r="AD65" s="87" t="n">
        <f aca="false">AD63/(AD57*4)</f>
        <v>6.90173310317165</v>
      </c>
      <c r="AE65" s="87" t="n">
        <f aca="false">AE63/(AE57*4)</f>
        <v>6.74693486285843</v>
      </c>
      <c r="AF65" s="87" t="n">
        <f aca="false">AF63/(AF57*4)</f>
        <v>6.59418322042812</v>
      </c>
      <c r="AG65" s="87" t="n">
        <f aca="false">AG63/(AG57*4)</f>
        <v>6.4432743804033</v>
      </c>
      <c r="AH65" s="87" t="n">
        <f aca="false">AH63/(AH57*4)</f>
        <v>6.36443756015852</v>
      </c>
      <c r="AI65" s="87" t="n">
        <f aca="false">AI63/(AI57*4)</f>
        <v>6.13708296441707</v>
      </c>
      <c r="AJ65" s="87" t="n">
        <f aca="false">AJ63/(AJ57*4)</f>
        <v>5.96242227862689</v>
      </c>
      <c r="AK65" s="87" t="n">
        <f aca="false">AK63/(AK57*4)</f>
        <v>5.74827320499217</v>
      </c>
      <c r="AL65" s="87" t="n">
        <f aca="false">AL63/(AL57*4)</f>
        <v>5.64216332040164</v>
      </c>
      <c r="AM65" s="87" t="n">
        <f aca="false">AM63/(AM57*4)</f>
        <v>5.45768419232047</v>
      </c>
      <c r="AN65" s="87" t="n">
        <f aca="false">AN63/(AN57*4)</f>
        <v>5.27663599385529</v>
      </c>
      <c r="AO65" s="87" t="n">
        <f aca="false">AO63/(AO57*4)</f>
        <v>5.09873633614477</v>
      </c>
    </row>
    <row r="67" customFormat="false" ht="15" hidden="false" customHeight="false" outlineLevel="0" collapsed="false">
      <c r="C67" s="40" t="s">
        <v>511</v>
      </c>
      <c r="D67" s="58" t="s">
        <v>512</v>
      </c>
      <c r="E67" s="58" t="s">
        <v>513</v>
      </c>
      <c r="F67" s="41" t="n">
        <f aca="false">F69/F57</f>
        <v>479.663865546218</v>
      </c>
      <c r="G67" s="41" t="n">
        <f aca="false">G69/G57</f>
        <v>436.993464052288</v>
      </c>
      <c r="H67" s="62" t="n">
        <f aca="false">H69/H57</f>
        <v>562.420601684717</v>
      </c>
      <c r="I67" s="62" t="n">
        <f aca="false">I69/I57</f>
        <v>645.425017419055</v>
      </c>
      <c r="J67" s="62" t="n">
        <f aca="false">J69/J57</f>
        <v>664.661684736254</v>
      </c>
      <c r="K67" s="62" t="n">
        <f aca="false">K69/K57</f>
        <v>681.743080932914</v>
      </c>
      <c r="L67" s="62" t="n">
        <f aca="false">L69/L57</f>
        <v>696.452431906518</v>
      </c>
      <c r="N67" s="41" t="n">
        <f aca="false">N69/N57</f>
        <v>522.173913043478</v>
      </c>
      <c r="O67" s="41" t="n">
        <f aca="false">O69/O57</f>
        <v>856.666666666667</v>
      </c>
      <c r="P67" s="41" t="n">
        <f aca="false">P69/P57</f>
        <v>432.121212121212</v>
      </c>
      <c r="Q67" s="41" t="n">
        <f aca="false">Q69/Q57</f>
        <v>374.166666666667</v>
      </c>
      <c r="R67" s="41" t="n">
        <f aca="false">R69/R57</f>
        <v>497</v>
      </c>
      <c r="S67" s="41" t="n">
        <f aca="false">S69/S57</f>
        <v>289.230769230769</v>
      </c>
      <c r="T67" s="41" t="n">
        <f aca="false">T69/T57</f>
        <v>436</v>
      </c>
      <c r="U67" s="41" t="n">
        <f aca="false">U69/U57</f>
        <v>628.064516129032</v>
      </c>
      <c r="V67" s="41" t="n">
        <f aca="false">V69/V57</f>
        <v>448.809523809524</v>
      </c>
      <c r="W67" s="41" t="n">
        <f aca="false">W69/W57</f>
        <v>595.454545454546</v>
      </c>
      <c r="X67" s="62" t="n">
        <f aca="false">((V69+W69)/(V57+W57))*(1+'Key Drivers'!H62)</f>
        <v>569.8</v>
      </c>
      <c r="Y67" s="62" t="n">
        <f aca="false">X67*(1+'Key Drivers'!H62)</f>
        <v>632.478</v>
      </c>
      <c r="Z67" s="62" t="n">
        <f aca="false">Y67*(1+'Key Drivers'!I62)</f>
        <v>637.537824</v>
      </c>
      <c r="AA67" s="62" t="n">
        <f aca="false">Z67*(1+'Key Drivers'!I62)</f>
        <v>642.638126592</v>
      </c>
      <c r="AB67" s="62" t="n">
        <f aca="false">AA67*(1+'Key Drivers'!I62)</f>
        <v>647.779231604736</v>
      </c>
      <c r="AC67" s="62" t="n">
        <f aca="false">AB67*(1+'Key Drivers'!I62)</f>
        <v>652.961465457574</v>
      </c>
      <c r="AD67" s="62" t="n">
        <f aca="false">AC67*(1+'Key Drivers'!J62)</f>
        <v>657.532195715777</v>
      </c>
      <c r="AE67" s="62" t="n">
        <f aca="false">AD67*(1+'Key Drivers'!J62)</f>
        <v>662.134921085788</v>
      </c>
      <c r="AF67" s="62" t="n">
        <f aca="false">AE67*(1+'Key Drivers'!J62)</f>
        <v>666.769865533388</v>
      </c>
      <c r="AG67" s="62" t="n">
        <f aca="false">AF67*(1+'Key Drivers'!J62)</f>
        <v>671.437254592122</v>
      </c>
      <c r="AH67" s="62" t="n">
        <f aca="false">AG67*(1+'Key Drivers'!K62)</f>
        <v>675.465878119674</v>
      </c>
      <c r="AI67" s="62" t="n">
        <f aca="false">AH67*(1+'Key Drivers'!K62)</f>
        <v>679.518673388392</v>
      </c>
      <c r="AJ67" s="62" t="n">
        <f aca="false">AI67*(1+'Key Drivers'!K62)</f>
        <v>683.595785428723</v>
      </c>
      <c r="AK67" s="62" t="n">
        <f aca="false">AJ67*(1+'Key Drivers'!K62)</f>
        <v>687.697360141295</v>
      </c>
      <c r="AL67" s="62" t="n">
        <f aca="false">AK67*(1+'Key Drivers'!L62)</f>
        <v>691.135846942001</v>
      </c>
      <c r="AM67" s="62" t="n">
        <f aca="false">AL67*(1+'Key Drivers'!L62)</f>
        <v>694.591526176711</v>
      </c>
      <c r="AN67" s="62" t="n">
        <f aca="false">AM67*(1+'Key Drivers'!L62)</f>
        <v>698.064483807595</v>
      </c>
      <c r="AO67" s="62" t="n">
        <f aca="false">AN67*(1+'Key Drivers'!L62)</f>
        <v>701.554806226633</v>
      </c>
    </row>
    <row r="68" customFormat="false" ht="15" hidden="false" customHeight="false" outlineLevel="0" collapsed="false">
      <c r="C68" s="46" t="s">
        <v>455</v>
      </c>
      <c r="D68" s="58"/>
      <c r="E68" s="58"/>
      <c r="F68" s="40"/>
      <c r="G68" s="65" t="n">
        <f aca="false">G67/F67-1</f>
        <v>-0.0889589659736821</v>
      </c>
      <c r="H68" s="66" t="n">
        <f aca="false">H67/G67-1</f>
        <v>0.287022914414624</v>
      </c>
      <c r="I68" s="66" t="n">
        <f aca="false">I67/H67-1</f>
        <v>0.147584237642968</v>
      </c>
      <c r="J68" s="66" t="n">
        <f aca="false">J67/I67-1</f>
        <v>0.0298046508858971</v>
      </c>
      <c r="K68" s="66" t="n">
        <f aca="false">K67/J67-1</f>
        <v>0.0256993844972986</v>
      </c>
      <c r="L68" s="66" t="n">
        <f aca="false">L67/K67-1</f>
        <v>0.021576091323839</v>
      </c>
      <c r="N68" s="40"/>
      <c r="O68" s="40"/>
      <c r="P68" s="40"/>
      <c r="Q68" s="40"/>
      <c r="R68" s="65" t="n">
        <f aca="false">R67/N67-1</f>
        <v>-0.0482098251457119</v>
      </c>
      <c r="S68" s="65" t="n">
        <f aca="false">S67/O67-1</f>
        <v>-0.662376533971865</v>
      </c>
      <c r="T68" s="65" t="n">
        <f aca="false">T67/P67-1</f>
        <v>0.0089761570827489</v>
      </c>
      <c r="U68" s="65" t="n">
        <f aca="false">U67/Q67-1</f>
        <v>0.678568862705654</v>
      </c>
      <c r="V68" s="65" t="n">
        <f aca="false">V67/R67-1</f>
        <v>-0.0969627287534732</v>
      </c>
      <c r="W68" s="65" t="n">
        <f aca="false">W67/S67-1</f>
        <v>1.05875241779497</v>
      </c>
      <c r="X68" s="66" t="n">
        <f aca="false">X67/T67-1</f>
        <v>0.306880733944954</v>
      </c>
      <c r="Y68" s="66" t="n">
        <f aca="false">Y67/U67-1</f>
        <v>0.00702711864406846</v>
      </c>
      <c r="Z68" s="66" t="n">
        <f aca="false">Z67/V67-1</f>
        <v>0.420508679469497</v>
      </c>
      <c r="AA68" s="66" t="n">
        <f aca="false">AA67/W67-1</f>
        <v>0.0792396019102295</v>
      </c>
      <c r="AB68" s="66" t="n">
        <f aca="false">AB67/X67-1</f>
        <v>0.13685368832</v>
      </c>
      <c r="AC68" s="66" t="n">
        <f aca="false">AC67/Y67-1</f>
        <v>0.0323860520960002</v>
      </c>
      <c r="AD68" s="66" t="n">
        <f aca="false">AD67/Z67-1</f>
        <v>0.031361859584</v>
      </c>
      <c r="AE68" s="66" t="n">
        <f aca="false">AE67/AA67-1</f>
        <v>0.0303386831359997</v>
      </c>
      <c r="AF68" s="66" t="n">
        <f aca="false">AF67/AB67-1</f>
        <v>0.0293165217439997</v>
      </c>
      <c r="AG68" s="66" t="n">
        <f aca="false">AG67/AC67-1</f>
        <v>0.0282953744009995</v>
      </c>
      <c r="AH68" s="66" t="n">
        <f aca="false">AH67/AD67-1</f>
        <v>0.0272742270579998</v>
      </c>
      <c r="AI68" s="66" t="n">
        <f aca="false">AI67/AE67-1</f>
        <v>0.0262540937639999</v>
      </c>
      <c r="AJ68" s="66" t="n">
        <f aca="false">AJ67/AF67-1</f>
        <v>0.0252349735119999</v>
      </c>
      <c r="AK68" s="66" t="n">
        <f aca="false">AK67/AG67-1</f>
        <v>0.024216865296</v>
      </c>
      <c r="AL68" s="66" t="n">
        <f aca="false">AL67/AH67-1</f>
        <v>0.0231987570799999</v>
      </c>
      <c r="AM68" s="66" t="n">
        <f aca="false">AM67/AI67-1</f>
        <v>0.0221816608999996</v>
      </c>
      <c r="AN68" s="66" t="n">
        <f aca="false">AN67/AJ67-1</f>
        <v>0.0211655757499996</v>
      </c>
      <c r="AO68" s="66" t="n">
        <f aca="false">AO67/AK67-1</f>
        <v>0.0201505006249996</v>
      </c>
    </row>
    <row r="69" customFormat="false" ht="15" hidden="false" customHeight="false" outlineLevel="0" collapsed="false">
      <c r="C69" s="42" t="s">
        <v>514</v>
      </c>
      <c r="D69" s="63"/>
      <c r="E69" s="63" t="s">
        <v>453</v>
      </c>
      <c r="F69" s="43" t="n">
        <f aca="false">SUM(N69:Q69)</f>
        <v>5708</v>
      </c>
      <c r="G69" s="43" t="n">
        <f aca="false">SUM(R69:U69)</f>
        <v>6686</v>
      </c>
      <c r="H69" s="64" t="n">
        <f aca="false">SUM(V69:Y69)</f>
        <v>9347.4304</v>
      </c>
      <c r="I69" s="64" t="n">
        <f aca="false">SUM(Z69:AC69)</f>
        <v>12605.1505901942</v>
      </c>
      <c r="J69" s="64" t="n">
        <f aca="false">SUM(AD69:AG69)</f>
        <v>14675.7299989765</v>
      </c>
      <c r="K69" s="64" t="n">
        <f aca="false">SUM(AH69:AK69)</f>
        <v>16934.4981303736</v>
      </c>
      <c r="L69" s="64" t="n">
        <f aca="false">SUM(AL69:AO69)</f>
        <v>19222.0871206199</v>
      </c>
      <c r="N69" s="43" t="n">
        <f aca="false">'GEV Quarterly'!B130</f>
        <v>1201</v>
      </c>
      <c r="O69" s="43" t="n">
        <f aca="false">'GEV Quarterly'!C130</f>
        <v>1285</v>
      </c>
      <c r="P69" s="43" t="n">
        <f aca="false">'GEV Quarterly'!D130</f>
        <v>1426</v>
      </c>
      <c r="Q69" s="43" t="n">
        <f aca="false">'GEV Quarterly'!E130</f>
        <v>1796</v>
      </c>
      <c r="R69" s="43" t="n">
        <f aca="false">'GEV Quarterly'!F130</f>
        <v>1491</v>
      </c>
      <c r="S69" s="43" t="n">
        <f aca="false">'GEV Quarterly'!G130</f>
        <v>1504</v>
      </c>
      <c r="T69" s="43" t="n">
        <f aca="false">'GEV Quarterly'!H130</f>
        <v>1744</v>
      </c>
      <c r="U69" s="43" t="n">
        <f aca="false">'GEV Quarterly'!I130</f>
        <v>1947</v>
      </c>
      <c r="V69" s="43" t="n">
        <f aca="false">'GEV Quarterly'!J182</f>
        <v>1885</v>
      </c>
      <c r="W69" s="43" t="n">
        <f aca="false">'GEV Quarterly'!K182</f>
        <v>1965</v>
      </c>
      <c r="X69" s="64" t="n">
        <f aca="false">X57*X67</f>
        <v>2461.536</v>
      </c>
      <c r="Y69" s="64" t="n">
        <f aca="false">Y57*Y67</f>
        <v>3035.8944</v>
      </c>
      <c r="Z69" s="64" t="n">
        <f aca="false">Z57*Z67</f>
        <v>2964.5508816</v>
      </c>
      <c r="AA69" s="64" t="n">
        <f aca="false">AA57*AA67</f>
        <v>3107.79798019891</v>
      </c>
      <c r="AB69" s="64" t="n">
        <f aca="false">AB57*AB67</f>
        <v>3192.90383257975</v>
      </c>
      <c r="AC69" s="64" t="n">
        <f aca="false">AC57*AC67</f>
        <v>3339.89789581549</v>
      </c>
      <c r="AD69" s="64" t="n">
        <f aca="false">AD57*AD67</f>
        <v>3448.09883433354</v>
      </c>
      <c r="AE69" s="64" t="n">
        <f aca="false">AE57*AE67</f>
        <v>3594.06835165366</v>
      </c>
      <c r="AF69" s="64" t="n">
        <f aca="false">AF57*AF67</f>
        <v>3741.91248537337</v>
      </c>
      <c r="AG69" s="64" t="n">
        <f aca="false">AG57*AG67</f>
        <v>3891.65032761594</v>
      </c>
      <c r="AH69" s="64" t="n">
        <f aca="false">AH57*AH67</f>
        <v>3977.14309036864</v>
      </c>
      <c r="AI69" s="64" t="n">
        <f aca="false">AI57*AI67</f>
        <v>4157.29524379019</v>
      </c>
      <c r="AJ69" s="64" t="n">
        <f aca="false">AJ57*AJ67</f>
        <v>4308.02063977181</v>
      </c>
      <c r="AK69" s="64" t="n">
        <f aca="false">AK57*AK67</f>
        <v>4492.03915644294</v>
      </c>
      <c r="AL69" s="64" t="n">
        <f aca="false">AL57*AL67</f>
        <v>4578.08385014382</v>
      </c>
      <c r="AM69" s="64" t="n">
        <f aca="false">AM57*AM67</f>
        <v>4728.77911021105</v>
      </c>
      <c r="AN69" s="64" t="n">
        <f aca="false">AN57*AN67</f>
        <v>4880.8668707827</v>
      </c>
      <c r="AO69" s="64" t="n">
        <f aca="false">AO57*AO67</f>
        <v>5034.35728948232</v>
      </c>
    </row>
    <row r="70" customFormat="false" ht="15" hidden="false" customHeight="false" outlineLevel="0" collapsed="false">
      <c r="C70" s="46" t="s">
        <v>455</v>
      </c>
      <c r="D70" s="58"/>
      <c r="E70" s="58"/>
      <c r="F70" s="40"/>
      <c r="G70" s="65" t="n">
        <f aca="false">G69/F69-1</f>
        <v>0.171338472319551</v>
      </c>
      <c r="H70" s="66" t="n">
        <f aca="false">H69/G69-1</f>
        <v>0.39806018546216</v>
      </c>
      <c r="I70" s="66" t="n">
        <f aca="false">I69/H69-1</f>
        <v>0.348515051815112</v>
      </c>
      <c r="J70" s="66" t="n">
        <f aca="false">J69/I69-1</f>
        <v>0.164264551539202</v>
      </c>
      <c r="K70" s="66" t="n">
        <f aca="false">K69/J69-1</f>
        <v>0.153911807559461</v>
      </c>
      <c r="L70" s="66" t="n">
        <f aca="false">L69/K69-1</f>
        <v>0.135084545915377</v>
      </c>
      <c r="N70" s="40"/>
      <c r="O70" s="40"/>
      <c r="P70" s="40"/>
      <c r="Q70" s="40"/>
      <c r="R70" s="65" t="n">
        <f aca="false">R69/N69-1</f>
        <v>0.241465445462115</v>
      </c>
      <c r="S70" s="65" t="n">
        <f aca="false">S69/O69-1</f>
        <v>0.170428015564202</v>
      </c>
      <c r="T70" s="65" t="n">
        <f aca="false">T69/P69-1</f>
        <v>0.223001402524544</v>
      </c>
      <c r="U70" s="65" t="n">
        <f aca="false">U69/Q69-1</f>
        <v>0.084075723830735</v>
      </c>
      <c r="V70" s="65" t="n">
        <f aca="false">V69/R69-1</f>
        <v>0.264252179745138</v>
      </c>
      <c r="W70" s="65" t="n">
        <f aca="false">W69/S69-1</f>
        <v>0.306515957446809</v>
      </c>
      <c r="X70" s="66" t="n">
        <f aca="false">X69/T69-1</f>
        <v>0.411431192660551</v>
      </c>
      <c r="Y70" s="66" t="n">
        <f aca="false">Y69/U69-1</f>
        <v>0.55926779661017</v>
      </c>
      <c r="Z70" s="66" t="n">
        <f aca="false">Z69/V69-1</f>
        <v>0.572706037984086</v>
      </c>
      <c r="AA70" s="66" t="n">
        <f aca="false">AA69/W69-1</f>
        <v>0.5815765802539</v>
      </c>
      <c r="AB70" s="66" t="n">
        <f aca="false">AB69/X69-1</f>
        <v>0.297118479104</v>
      </c>
      <c r="AC70" s="66" t="n">
        <f aca="false">AC69/Y69-1</f>
        <v>0.1001363867648</v>
      </c>
      <c r="AD70" s="66" t="n">
        <f aca="false">AD69/Z69-1</f>
        <v>0.163110019711505</v>
      </c>
      <c r="AE70" s="66" t="n">
        <f aca="false">AE69/AA69-1</f>
        <v>0.156467818871424</v>
      </c>
      <c r="AF70" s="66" t="n">
        <f aca="false">AF69/AB69-1</f>
        <v>0.171946504367484</v>
      </c>
      <c r="AG70" s="66" t="n">
        <f aca="false">AG69/AC69-1</f>
        <v>0.16520038905732</v>
      </c>
      <c r="AH70" s="66" t="n">
        <f aca="false">AH69/AD69-1</f>
        <v>0.153430711082666</v>
      </c>
      <c r="AI70" s="66" t="n">
        <f aca="false">AI69/AE69-1</f>
        <v>0.156710122632305</v>
      </c>
      <c r="AJ70" s="66" t="n">
        <f aca="false">AJ69/AF69-1</f>
        <v>0.151288453861836</v>
      </c>
      <c r="AK70" s="66" t="n">
        <f aca="false">AK69/AG69-1</f>
        <v>0.154276149778032</v>
      </c>
      <c r="AL70" s="66" t="n">
        <f aca="false">AL69/AH69-1</f>
        <v>0.151098601715</v>
      </c>
      <c r="AM70" s="66" t="n">
        <f aca="false">AM69/AI69-1</f>
        <v>0.137465306866165</v>
      </c>
      <c r="AN70" s="66" t="n">
        <f aca="false">AN69/AJ69-1</f>
        <v>0.132972025649635</v>
      </c>
      <c r="AO70" s="66" t="n">
        <f aca="false">AO69/AK69-1</f>
        <v>0.120728718996478</v>
      </c>
    </row>
    <row r="72" customFormat="false" ht="15" hidden="false" customHeight="false" outlineLevel="0" collapsed="false">
      <c r="C72" s="61" t="s">
        <v>447</v>
      </c>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row>
    <row r="73" customFormat="false" ht="15" hidden="false" customHeight="false" outlineLevel="0" collapsed="false">
      <c r="C73" s="40" t="s">
        <v>515</v>
      </c>
      <c r="D73" s="58"/>
      <c r="E73" s="58" t="s">
        <v>516</v>
      </c>
      <c r="F73" s="41" t="n">
        <f aca="false">SUM(N73:Q73)</f>
        <v>12525</v>
      </c>
      <c r="G73" s="41" t="n">
        <f aca="false">SUM(R73:U73)</f>
        <v>13187</v>
      </c>
      <c r="H73" s="62" t="n">
        <f aca="false">SUM(V73:Y73)</f>
        <v>14032.36</v>
      </c>
      <c r="I73" s="62" t="n">
        <f aca="false">SUM(Z73:AC73)</f>
        <v>14733.978</v>
      </c>
      <c r="J73" s="62" t="n">
        <f aca="false">SUM(AD73:AG73)</f>
        <v>15397.00701</v>
      </c>
      <c r="K73" s="62" t="n">
        <f aca="false">SUM(AH73:AK73)</f>
        <v>16012.8872904</v>
      </c>
      <c r="L73" s="62" t="n">
        <f aca="false">SUM(AL73:AO73)</f>
        <v>16653.402782016</v>
      </c>
      <c r="N73" s="41" t="n">
        <f aca="false">'GEV Quarterly'!B87-'GEV Quarterly'!B130</f>
        <v>2860.5</v>
      </c>
      <c r="O73" s="41" t="n">
        <f aca="false">'GEV Quarterly'!C87-'GEV Quarterly'!C130</f>
        <v>3196.5</v>
      </c>
      <c r="P73" s="41" t="n">
        <f aca="false">'GEV Quarterly'!D87-'GEV Quarterly'!D130</f>
        <v>2806.5</v>
      </c>
      <c r="Q73" s="41" t="n">
        <f aca="false">'GEV Quarterly'!E87-'GEV Quarterly'!E130</f>
        <v>3661.5</v>
      </c>
      <c r="R73" s="41" t="n">
        <f aca="false">'GEV Quarterly'!F87-'GEV Quarterly'!F130</f>
        <v>2958</v>
      </c>
      <c r="S73" s="41" t="n">
        <f aca="false">'GEV Quarterly'!G87-'GEV Quarterly'!G130</f>
        <v>3281</v>
      </c>
      <c r="T73" s="41" t="n">
        <f aca="false">'GEV Quarterly'!H87-'GEV Quarterly'!H130</f>
        <v>3120.5</v>
      </c>
      <c r="U73" s="41" t="n">
        <f aca="false">'GEV Quarterly'!I87-'GEV Quarterly'!I130</f>
        <v>3827.5</v>
      </c>
      <c r="V73" s="41" t="n">
        <f aca="false">'GEV Quarterly'!J87-'GEV Quarterly'!J182</f>
        <v>3086</v>
      </c>
      <c r="W73" s="41" t="n">
        <f aca="false">'GEV Quarterly'!K87-'GEV Quarterly'!K182</f>
        <v>3512</v>
      </c>
      <c r="X73" s="62" t="n">
        <f aca="false">T73*(1+'Key Drivers'!H68)</f>
        <v>3338.935</v>
      </c>
      <c r="Y73" s="62" t="n">
        <f aca="false">U73*(1+'Key Drivers'!H68)</f>
        <v>4095.425</v>
      </c>
      <c r="Z73" s="62" t="n">
        <f aca="false">V73*(1+'Key Drivers'!I68)</f>
        <v>3240.3</v>
      </c>
      <c r="AA73" s="62" t="n">
        <f aca="false">W73*(1+'Key Drivers'!I68)</f>
        <v>3687.6</v>
      </c>
      <c r="AB73" s="62" t="n">
        <f aca="false">X73*(1+'Key Drivers'!I68)</f>
        <v>3505.88175</v>
      </c>
      <c r="AC73" s="62" t="n">
        <f aca="false">Y73*(1+'Key Drivers'!I68)</f>
        <v>4300.19625</v>
      </c>
      <c r="AD73" s="62" t="n">
        <f aca="false">Z73*(1+'Key Drivers'!J68)</f>
        <v>3386.1135</v>
      </c>
      <c r="AE73" s="62" t="n">
        <f aca="false">AA73*(1+'Key Drivers'!J68)</f>
        <v>3853.542</v>
      </c>
      <c r="AF73" s="62" t="n">
        <f aca="false">AB73*(1+'Key Drivers'!J68)</f>
        <v>3663.64642875</v>
      </c>
      <c r="AG73" s="62" t="n">
        <f aca="false">AC73*(1+'Key Drivers'!J68)</f>
        <v>4493.70508125</v>
      </c>
      <c r="AH73" s="62" t="n">
        <f aca="false">AD73*(1+'Key Drivers'!K68)</f>
        <v>3521.55804</v>
      </c>
      <c r="AI73" s="62" t="n">
        <f aca="false">AE73*(1+'Key Drivers'!K68)</f>
        <v>4007.68368</v>
      </c>
      <c r="AJ73" s="62" t="n">
        <f aca="false">AF73*(1+'Key Drivers'!K68)</f>
        <v>3810.1922859</v>
      </c>
      <c r="AK73" s="62" t="n">
        <f aca="false">AG73*(1+'Key Drivers'!K68)</f>
        <v>4673.4532845</v>
      </c>
      <c r="AL73" s="62" t="n">
        <f aca="false">AH73*(1+'Key Drivers'!L68)</f>
        <v>3662.4203616</v>
      </c>
      <c r="AM73" s="62" t="n">
        <f aca="false">AI73*(1+'Key Drivers'!L68)</f>
        <v>4167.9910272</v>
      </c>
      <c r="AN73" s="62" t="n">
        <f aca="false">AJ73*(1+'Key Drivers'!L68)</f>
        <v>3962.599977336</v>
      </c>
      <c r="AO73" s="62" t="n">
        <f aca="false">AK73*(1+'Key Drivers'!L68)</f>
        <v>4860.39141588</v>
      </c>
    </row>
    <row r="74" customFormat="false" ht="15" hidden="false" customHeight="false" outlineLevel="0" collapsed="false">
      <c r="C74" s="46" t="s">
        <v>455</v>
      </c>
      <c r="D74" s="58"/>
      <c r="E74" s="58"/>
      <c r="F74" s="40"/>
      <c r="G74" s="65" t="n">
        <f aca="false">G73/F73-1</f>
        <v>0.0528542914171657</v>
      </c>
      <c r="H74" s="66" t="n">
        <f aca="false">H73/G73-1</f>
        <v>0.064105558504588</v>
      </c>
      <c r="I74" s="66" t="n">
        <f aca="false">I73/H73-1</f>
        <v>0.0500000000000003</v>
      </c>
      <c r="J74" s="66" t="n">
        <f aca="false">J73/I73-1</f>
        <v>0.0449999999999997</v>
      </c>
      <c r="K74" s="66" t="n">
        <f aca="false">K73/J73-1</f>
        <v>0.0400000000000003</v>
      </c>
      <c r="L74" s="66" t="n">
        <f aca="false">L73/K73-1</f>
        <v>0.04</v>
      </c>
      <c r="N74" s="40"/>
      <c r="O74" s="40"/>
      <c r="P74" s="40"/>
      <c r="Q74" s="40"/>
      <c r="R74" s="65" t="n">
        <f aca="false">R73/N73-1</f>
        <v>0.0340849501835343</v>
      </c>
      <c r="S74" s="65" t="n">
        <f aca="false">S73/O73-1</f>
        <v>0.0264351634600344</v>
      </c>
      <c r="T74" s="65" t="n">
        <f aca="false">T73/P73-1</f>
        <v>0.111883128451808</v>
      </c>
      <c r="U74" s="65" t="n">
        <f aca="false">U73/Q73-1</f>
        <v>0.0453366106786837</v>
      </c>
      <c r="V74" s="65" t="n">
        <f aca="false">V73/R73-1</f>
        <v>0.0432724814063556</v>
      </c>
      <c r="W74" s="65" t="n">
        <f aca="false">W73/S73-1</f>
        <v>0.0704053642182261</v>
      </c>
      <c r="X74" s="66" t="n">
        <f aca="false">X73/T73-1</f>
        <v>0.0700000000000001</v>
      </c>
      <c r="Y74" s="66" t="n">
        <f aca="false">Y73/U73-1</f>
        <v>0.0700000000000001</v>
      </c>
      <c r="Z74" s="66" t="n">
        <f aca="false">Z73/V73-1</f>
        <v>0.05</v>
      </c>
      <c r="AA74" s="66" t="n">
        <f aca="false">AA73/W73-1</f>
        <v>0.05</v>
      </c>
      <c r="AB74" s="66" t="n">
        <f aca="false">AB73/X73-1</f>
        <v>0.05</v>
      </c>
      <c r="AC74" s="66" t="n">
        <f aca="false">AC73/Y73-1</f>
        <v>0.05</v>
      </c>
      <c r="AD74" s="66" t="n">
        <f aca="false">AD73/Z73-1</f>
        <v>0.0449999999999999</v>
      </c>
      <c r="AE74" s="66" t="n">
        <f aca="false">AE73/AA73-1</f>
        <v>0.0449999999999999</v>
      </c>
      <c r="AF74" s="66" t="n">
        <f aca="false">AF73/AB73-1</f>
        <v>0.0449999999999999</v>
      </c>
      <c r="AG74" s="66" t="n">
        <f aca="false">AG73/AC73-1</f>
        <v>0.0449999999999999</v>
      </c>
      <c r="AH74" s="66" t="n">
        <f aca="false">AH73/AD73-1</f>
        <v>0.04</v>
      </c>
      <c r="AI74" s="66" t="n">
        <f aca="false">AI73/AE73-1</f>
        <v>0.04</v>
      </c>
      <c r="AJ74" s="66" t="n">
        <f aca="false">AJ73/AF73-1</f>
        <v>0.04</v>
      </c>
      <c r="AK74" s="66" t="n">
        <f aca="false">AK73/AG73-1</f>
        <v>0.04</v>
      </c>
      <c r="AL74" s="66" t="n">
        <f aca="false">AL73/AH73-1</f>
        <v>0.04</v>
      </c>
      <c r="AM74" s="66" t="n">
        <f aca="false">AM73/AI73-1</f>
        <v>0.04</v>
      </c>
      <c r="AN74" s="66" t="n">
        <f aca="false">AN73/AJ73-1</f>
        <v>0.04</v>
      </c>
      <c r="AO74" s="66" t="n">
        <f aca="false">AO73/AK73-1</f>
        <v>0.04</v>
      </c>
    </row>
    <row r="75" customFormat="false" ht="15" hidden="false" customHeight="false" outlineLevel="0" collapsed="false">
      <c r="C75" s="46" t="s">
        <v>517</v>
      </c>
      <c r="D75" s="58"/>
      <c r="E75" s="58" t="s">
        <v>518</v>
      </c>
      <c r="F75" s="40"/>
      <c r="G75" s="51" t="n">
        <f aca="false">U75</f>
        <v>69841</v>
      </c>
      <c r="H75" s="68"/>
      <c r="I75" s="68"/>
      <c r="J75" s="68"/>
      <c r="K75" s="68"/>
      <c r="L75" s="68"/>
      <c r="N75" s="40"/>
      <c r="O75" s="40"/>
      <c r="P75" s="40"/>
      <c r="Q75" s="40"/>
      <c r="R75" s="40"/>
      <c r="S75" s="40"/>
      <c r="T75" s="40"/>
      <c r="U75" s="51" t="n">
        <f aca="false">'GEV Quarterly'!I237</f>
        <v>69841</v>
      </c>
      <c r="V75" s="51" t="n">
        <f aca="false">'GEV Quarterly'!J237</f>
        <v>71164</v>
      </c>
      <c r="W75" s="51" t="n">
        <f aca="false">'GEV Quarterly'!K237</f>
        <v>72388</v>
      </c>
      <c r="X75" s="68"/>
      <c r="Y75" s="68"/>
      <c r="Z75" s="68"/>
      <c r="AA75" s="68"/>
      <c r="AB75" s="68"/>
      <c r="AC75" s="68"/>
      <c r="AD75" s="68"/>
      <c r="AE75" s="68"/>
      <c r="AF75" s="68"/>
      <c r="AG75" s="68"/>
      <c r="AH75" s="68"/>
      <c r="AI75" s="68"/>
      <c r="AJ75" s="68"/>
      <c r="AK75" s="68"/>
      <c r="AL75" s="68"/>
      <c r="AM75" s="68"/>
      <c r="AN75" s="68"/>
      <c r="AO75" s="68"/>
    </row>
    <row r="77" customFormat="false" ht="15" hidden="false" customHeight="false" outlineLevel="0" collapsed="false">
      <c r="C77" s="61" t="s">
        <v>519</v>
      </c>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row>
    <row r="78" customFormat="false" ht="15" hidden="false" customHeight="false" outlineLevel="0" collapsed="false">
      <c r="C78" s="40" t="s">
        <v>520</v>
      </c>
      <c r="D78" s="58"/>
      <c r="E78" s="58" t="s">
        <v>521</v>
      </c>
      <c r="F78" s="41" t="n">
        <f aca="false">F36*1000</f>
        <v>249700</v>
      </c>
      <c r="G78" s="41" t="n">
        <f aca="false">G36*1000</f>
        <v>408700</v>
      </c>
      <c r="H78" s="62" t="n">
        <f aca="false">H36*1000</f>
        <v>732500</v>
      </c>
      <c r="I78" s="62" t="n">
        <f aca="false">I36*1000</f>
        <v>915625</v>
      </c>
      <c r="J78" s="62" t="n">
        <f aca="false">J36*1000</f>
        <v>1007187.5</v>
      </c>
      <c r="K78" s="62" t="n">
        <f aca="false">K36*1000</f>
        <v>1057546.875</v>
      </c>
      <c r="L78" s="62" t="n">
        <f aca="false">L36*1000</f>
        <v>1089273.28125</v>
      </c>
      <c r="N78" s="40"/>
      <c r="O78" s="40"/>
      <c r="P78" s="40"/>
      <c r="Q78" s="40"/>
      <c r="R78" s="40"/>
      <c r="S78" s="40"/>
      <c r="T78" s="40"/>
      <c r="U78" s="40"/>
      <c r="V78" s="40"/>
      <c r="W78" s="40"/>
      <c r="X78" s="68"/>
      <c r="Y78" s="68"/>
      <c r="Z78" s="68"/>
      <c r="AA78" s="68"/>
      <c r="AB78" s="68"/>
      <c r="AC78" s="68"/>
      <c r="AD78" s="68"/>
      <c r="AE78" s="68"/>
      <c r="AF78" s="68"/>
      <c r="AG78" s="68"/>
      <c r="AH78" s="68"/>
      <c r="AI78" s="68"/>
      <c r="AJ78" s="68"/>
      <c r="AK78" s="68"/>
      <c r="AL78" s="68"/>
      <c r="AM78" s="68"/>
      <c r="AN78" s="68"/>
      <c r="AO78" s="68"/>
    </row>
    <row r="79" customFormat="false" ht="15" hidden="false" customHeight="false" outlineLevel="0" collapsed="false">
      <c r="C79" s="40" t="s">
        <v>522</v>
      </c>
      <c r="D79" s="58"/>
      <c r="E79" s="58" t="s">
        <v>523</v>
      </c>
      <c r="F79" s="40"/>
      <c r="G79" s="88" t="n">
        <f aca="false">G82/G78</f>
        <v>0.00587227795448985</v>
      </c>
      <c r="H79" s="89" t="n">
        <f aca="false">'Key Drivers'!H16</f>
        <v>0.0143</v>
      </c>
      <c r="I79" s="89" t="n">
        <f aca="false">'Key Drivers'!I16</f>
        <v>0.0145</v>
      </c>
      <c r="J79" s="89" t="n">
        <f aca="false">'Key Drivers'!J16</f>
        <v>0.0145</v>
      </c>
      <c r="K79" s="89" t="n">
        <f aca="false">'Key Drivers'!K16</f>
        <v>0.014</v>
      </c>
      <c r="L79" s="89" t="n">
        <f aca="false">'Key Drivers'!L16</f>
        <v>0.014</v>
      </c>
      <c r="N79" s="40"/>
      <c r="O79" s="40"/>
      <c r="P79" s="40"/>
      <c r="Q79" s="40"/>
      <c r="R79" s="40"/>
      <c r="S79" s="40"/>
      <c r="T79" s="40"/>
      <c r="U79" s="40"/>
      <c r="V79" s="40"/>
      <c r="W79" s="40"/>
      <c r="X79" s="68"/>
      <c r="Y79" s="68"/>
      <c r="Z79" s="68"/>
      <c r="AA79" s="68"/>
      <c r="AB79" s="68"/>
      <c r="AC79" s="68"/>
      <c r="AD79" s="68"/>
      <c r="AE79" s="68"/>
      <c r="AF79" s="68"/>
      <c r="AG79" s="68"/>
      <c r="AH79" s="68"/>
      <c r="AI79" s="68"/>
      <c r="AJ79" s="68"/>
      <c r="AK79" s="68"/>
      <c r="AL79" s="68"/>
      <c r="AM79" s="68"/>
      <c r="AN79" s="68"/>
      <c r="AO79" s="68"/>
    </row>
    <row r="80" customFormat="false" ht="15" hidden="false" customHeight="false" outlineLevel="0" collapsed="false">
      <c r="C80" s="46" t="s">
        <v>524</v>
      </c>
      <c r="D80" s="58"/>
      <c r="E80" s="58" t="s">
        <v>525</v>
      </c>
      <c r="F80" s="40"/>
      <c r="G80" s="40"/>
      <c r="H80" s="67" t="n">
        <f aca="false">H78*H79</f>
        <v>10474.75</v>
      </c>
      <c r="I80" s="67" t="n">
        <f aca="false">I78*I79</f>
        <v>13276.5625</v>
      </c>
      <c r="J80" s="67" t="n">
        <f aca="false">J78*J79</f>
        <v>14604.21875</v>
      </c>
      <c r="K80" s="67" t="n">
        <f aca="false">K78*K79</f>
        <v>14805.65625</v>
      </c>
      <c r="L80" s="67" t="n">
        <f aca="false">L78*L79</f>
        <v>15249.8259375</v>
      </c>
      <c r="N80" s="40"/>
      <c r="O80" s="40"/>
      <c r="P80" s="40"/>
      <c r="Q80" s="40"/>
      <c r="R80" s="40"/>
      <c r="S80" s="40"/>
      <c r="T80" s="40"/>
      <c r="U80" s="40"/>
      <c r="V80" s="40"/>
      <c r="W80" s="40"/>
      <c r="X80" s="68"/>
      <c r="Y80" s="68"/>
      <c r="Z80" s="68"/>
      <c r="AA80" s="68"/>
      <c r="AB80" s="68"/>
      <c r="AC80" s="68"/>
      <c r="AD80" s="68"/>
      <c r="AE80" s="68"/>
      <c r="AF80" s="68"/>
      <c r="AG80" s="68"/>
      <c r="AH80" s="68"/>
      <c r="AI80" s="68"/>
      <c r="AJ80" s="68"/>
      <c r="AK80" s="68"/>
      <c r="AL80" s="68"/>
      <c r="AM80" s="68"/>
      <c r="AN80" s="68"/>
      <c r="AO80" s="68"/>
    </row>
    <row r="81" customFormat="false" ht="15" hidden="false" customHeight="false" outlineLevel="0" collapsed="false">
      <c r="C81" s="46" t="s">
        <v>526</v>
      </c>
      <c r="D81" s="58"/>
      <c r="E81" s="58" t="s">
        <v>527</v>
      </c>
      <c r="F81" s="40"/>
      <c r="G81" s="51" t="n">
        <f aca="false">G84-G82</f>
        <v>15481</v>
      </c>
      <c r="H81" s="67" t="n">
        <f aca="false">G81*(1+'Key Drivers'!H21)</f>
        <v>14242.52</v>
      </c>
      <c r="I81" s="67" t="n">
        <f aca="false">H81*(1+'Key Drivers'!I21)</f>
        <v>14954.646</v>
      </c>
      <c r="J81" s="67" t="n">
        <f aca="false">I81*(1+'Key Drivers'!J21)</f>
        <v>15702.3783</v>
      </c>
      <c r="K81" s="67" t="n">
        <f aca="false">J81*(1+'Key Drivers'!K21)</f>
        <v>16330.473432</v>
      </c>
      <c r="L81" s="67" t="n">
        <f aca="false">K81*(1+'Key Drivers'!L21)</f>
        <v>16820.38763496</v>
      </c>
      <c r="N81" s="40"/>
      <c r="O81" s="40"/>
      <c r="P81" s="40"/>
      <c r="Q81" s="40"/>
      <c r="R81" s="40"/>
      <c r="S81" s="40"/>
      <c r="T81" s="40"/>
      <c r="U81" s="40"/>
      <c r="V81" s="40"/>
      <c r="W81" s="40"/>
      <c r="X81" s="68"/>
      <c r="Y81" s="68"/>
      <c r="Z81" s="68"/>
      <c r="AA81" s="68"/>
      <c r="AB81" s="68"/>
      <c r="AC81" s="68"/>
      <c r="AD81" s="68"/>
      <c r="AE81" s="68"/>
      <c r="AF81" s="68"/>
      <c r="AG81" s="68"/>
      <c r="AH81" s="68"/>
      <c r="AI81" s="68"/>
      <c r="AJ81" s="68"/>
      <c r="AK81" s="68"/>
      <c r="AL81" s="68"/>
      <c r="AM81" s="68"/>
      <c r="AN81" s="68"/>
      <c r="AO81" s="68"/>
    </row>
    <row r="82" customFormat="false" ht="15" hidden="false" customHeight="false" outlineLevel="0" collapsed="false">
      <c r="C82" s="40" t="s">
        <v>528</v>
      </c>
      <c r="D82" s="58"/>
      <c r="E82" s="58" t="s">
        <v>529</v>
      </c>
      <c r="F82" s="40"/>
      <c r="G82" s="90" t="n">
        <v>2400</v>
      </c>
      <c r="H82" s="62" t="n">
        <f aca="false">SUM(V82:Y82)</f>
        <v>10474.75</v>
      </c>
      <c r="I82" s="62" t="n">
        <f aca="false">SUM(Z82:AC82)</f>
        <v>13276.5625</v>
      </c>
      <c r="J82" s="62" t="n">
        <f aca="false">SUM(AD82:AG82)</f>
        <v>14604.21875</v>
      </c>
      <c r="K82" s="62" t="n">
        <f aca="false">SUM(AH82:AK82)</f>
        <v>14805.65625</v>
      </c>
      <c r="L82" s="62" t="n">
        <f aca="false">SUM(AL82:AO82)</f>
        <v>15249.8259375</v>
      </c>
      <c r="N82" s="40"/>
      <c r="O82" s="40"/>
      <c r="P82" s="40"/>
      <c r="Q82" s="40"/>
      <c r="R82" s="40"/>
      <c r="S82" s="40"/>
      <c r="T82" s="40"/>
      <c r="U82" s="40"/>
      <c r="V82" s="90" t="n">
        <v>2300</v>
      </c>
      <c r="W82" s="91" t="n">
        <v>2700</v>
      </c>
      <c r="X82" s="62" t="n">
        <f aca="false">(H80-SUM(V82:W82))*'Key Drivers'!$H$100/('Key Drivers'!$H$100+'Key Drivers'!$I$100)</f>
        <v>2412.60169491525</v>
      </c>
      <c r="Y82" s="62" t="n">
        <f aca="false">(H80-SUM(V82:W82))*'Key Drivers'!$I$100/('Key Drivers'!$H$100+'Key Drivers'!$I$100)</f>
        <v>3062.14830508475</v>
      </c>
      <c r="Z82" s="62" t="n">
        <f aca="false">I80*'Key Drivers'!$F$100</f>
        <v>2655.3125</v>
      </c>
      <c r="AA82" s="62" t="n">
        <f aca="false">I80*'Key Drivers'!$G$100</f>
        <v>2788.078125</v>
      </c>
      <c r="AB82" s="62" t="n">
        <f aca="false">I80*'Key Drivers'!$H$100</f>
        <v>3451.90625</v>
      </c>
      <c r="AC82" s="62" t="n">
        <f aca="false">I80*'Key Drivers'!$I$100</f>
        <v>4381.265625</v>
      </c>
      <c r="AD82" s="62" t="n">
        <f aca="false">J80*'Key Drivers'!$F$100</f>
        <v>2920.84375</v>
      </c>
      <c r="AE82" s="62" t="n">
        <f aca="false">J80*'Key Drivers'!$G$100</f>
        <v>3066.8859375</v>
      </c>
      <c r="AF82" s="62" t="n">
        <f aca="false">J80*'Key Drivers'!$H$100</f>
        <v>3797.096875</v>
      </c>
      <c r="AG82" s="62" t="n">
        <f aca="false">J80*'Key Drivers'!$I$100</f>
        <v>4819.3921875</v>
      </c>
      <c r="AH82" s="62" t="n">
        <f aca="false">K80*'Key Drivers'!$F$100</f>
        <v>2961.13125</v>
      </c>
      <c r="AI82" s="62" t="n">
        <f aca="false">K80*'Key Drivers'!$G$100</f>
        <v>3109.1878125</v>
      </c>
      <c r="AJ82" s="62" t="n">
        <f aca="false">K80*'Key Drivers'!$H$100</f>
        <v>3849.470625</v>
      </c>
      <c r="AK82" s="62" t="n">
        <f aca="false">K80*'Key Drivers'!$I$100</f>
        <v>4885.8665625</v>
      </c>
      <c r="AL82" s="62" t="n">
        <f aca="false">L80*'Key Drivers'!$F$100</f>
        <v>3049.9651875</v>
      </c>
      <c r="AM82" s="62" t="n">
        <f aca="false">L80*'Key Drivers'!$G$100</f>
        <v>3202.463446875</v>
      </c>
      <c r="AN82" s="62" t="n">
        <f aca="false">L80*'Key Drivers'!$H$100</f>
        <v>3964.95474375</v>
      </c>
      <c r="AO82" s="62" t="n">
        <f aca="false">L80*'Key Drivers'!$I$100</f>
        <v>5032.442559375</v>
      </c>
    </row>
    <row r="83" customFormat="false" ht="15" hidden="false" customHeight="false" outlineLevel="0" collapsed="false">
      <c r="C83" s="40" t="s">
        <v>530</v>
      </c>
      <c r="D83" s="58"/>
      <c r="E83" s="58"/>
      <c r="F83" s="40"/>
      <c r="G83" s="41" t="n">
        <f aca="false">G81</f>
        <v>15481</v>
      </c>
      <c r="H83" s="62" t="n">
        <f aca="false">SUM(V83:Y83)</f>
        <v>14242.52</v>
      </c>
      <c r="I83" s="62" t="n">
        <f aca="false">SUM(Z83:AC83)</f>
        <v>14954.646</v>
      </c>
      <c r="J83" s="62" t="n">
        <f aca="false">SUM(AD83:AG83)</f>
        <v>15702.3783</v>
      </c>
      <c r="K83" s="62" t="n">
        <f aca="false">SUM(AH83:AK83)</f>
        <v>16330.473432</v>
      </c>
      <c r="L83" s="62" t="n">
        <f aca="false">SUM(AL83:AO83)</f>
        <v>16820.38763496</v>
      </c>
      <c r="N83" s="40"/>
      <c r="O83" s="40"/>
      <c r="P83" s="40"/>
      <c r="Q83" s="40"/>
      <c r="R83" s="40"/>
      <c r="S83" s="40"/>
      <c r="T83" s="40"/>
      <c r="U83" s="40"/>
      <c r="V83" s="41" t="n">
        <f aca="false">V84-V82</f>
        <v>3291</v>
      </c>
      <c r="W83" s="41" t="n">
        <f aca="false">W84-W82</f>
        <v>2421</v>
      </c>
      <c r="X83" s="62" t="n">
        <f aca="false">(H81-SUM(V83:W83))*'Key Drivers'!$H$100/('Key Drivers'!$H$100+'Key Drivers'!$I$100)</f>
        <v>3759.21220338983</v>
      </c>
      <c r="Y83" s="62" t="n">
        <f aca="false">(H81-SUM(V83:W83))*'Key Drivers'!$I$100/('Key Drivers'!$H$100+'Key Drivers'!$I$100)</f>
        <v>4771.30779661017</v>
      </c>
      <c r="Z83" s="62" t="n">
        <f aca="false">I81*'Key Drivers'!$F$100</f>
        <v>2990.9292</v>
      </c>
      <c r="AA83" s="62" t="n">
        <f aca="false">I81*'Key Drivers'!$G$100</f>
        <v>3140.47566</v>
      </c>
      <c r="AB83" s="62" t="n">
        <f aca="false">I81*'Key Drivers'!$H$100</f>
        <v>3888.20796</v>
      </c>
      <c r="AC83" s="62" t="n">
        <f aca="false">I81*'Key Drivers'!$I$100</f>
        <v>4935.03318</v>
      </c>
      <c r="AD83" s="62" t="n">
        <f aca="false">J81*'Key Drivers'!$F$100</f>
        <v>3140.47566</v>
      </c>
      <c r="AE83" s="62" t="n">
        <f aca="false">J81*'Key Drivers'!$G$100</f>
        <v>3297.499443</v>
      </c>
      <c r="AF83" s="62" t="n">
        <f aca="false">J81*'Key Drivers'!$H$100</f>
        <v>4082.618358</v>
      </c>
      <c r="AG83" s="62" t="n">
        <f aca="false">J81*'Key Drivers'!$I$100</f>
        <v>5181.784839</v>
      </c>
      <c r="AH83" s="62" t="n">
        <f aca="false">K81*'Key Drivers'!$F$100</f>
        <v>3266.0946864</v>
      </c>
      <c r="AI83" s="62" t="n">
        <f aca="false">K81*'Key Drivers'!$G$100</f>
        <v>3429.39942072</v>
      </c>
      <c r="AJ83" s="62" t="n">
        <f aca="false">K81*'Key Drivers'!$H$100</f>
        <v>4245.92309232</v>
      </c>
      <c r="AK83" s="62" t="n">
        <f aca="false">K81*'Key Drivers'!$I$100</f>
        <v>5389.05623256</v>
      </c>
      <c r="AL83" s="62" t="n">
        <f aca="false">L81*'Key Drivers'!$F$100</f>
        <v>3364.077526992</v>
      </c>
      <c r="AM83" s="62" t="n">
        <f aca="false">L81*'Key Drivers'!$G$100</f>
        <v>3532.2814033416</v>
      </c>
      <c r="AN83" s="62" t="n">
        <f aca="false">L81*'Key Drivers'!$H$100</f>
        <v>4373.3007850896</v>
      </c>
      <c r="AO83" s="62" t="n">
        <f aca="false">L81*'Key Drivers'!$I$100</f>
        <v>5550.7279195368</v>
      </c>
    </row>
    <row r="84" customFormat="false" ht="15" hidden="false" customHeight="false" outlineLevel="0" collapsed="false">
      <c r="C84" s="42" t="s">
        <v>531</v>
      </c>
      <c r="D84" s="63"/>
      <c r="E84" s="63" t="s">
        <v>532</v>
      </c>
      <c r="F84" s="73"/>
      <c r="G84" s="43" t="n">
        <f aca="false">SUM(R84:U84)</f>
        <v>17881</v>
      </c>
      <c r="H84" s="64" t="n">
        <f aca="false">SUM(V84:Y84)</f>
        <v>24717.27</v>
      </c>
      <c r="I84" s="64" t="n">
        <f aca="false">SUM(Z84:AC84)</f>
        <v>28231.2085</v>
      </c>
      <c r="J84" s="64" t="n">
        <f aca="false">SUM(AD84:AG84)</f>
        <v>30306.59705</v>
      </c>
      <c r="K84" s="64" t="n">
        <f aca="false">SUM(AH84:AK84)</f>
        <v>31136.129682</v>
      </c>
      <c r="L84" s="64" t="n">
        <f aca="false">SUM(AL84:AO84)</f>
        <v>32070.21357246</v>
      </c>
      <c r="N84" s="73"/>
      <c r="O84" s="43" t="n">
        <f aca="false">O92-N92-O89+O91</f>
        <v>3977</v>
      </c>
      <c r="P84" s="43" t="n">
        <f aca="false">P92-O92-P89+P91</f>
        <v>2535</v>
      </c>
      <c r="Q84" s="43" t="n">
        <f aca="false">Q92-P92-Q89+Q91</f>
        <v>2948</v>
      </c>
      <c r="R84" s="43" t="n">
        <f aca="false">R92-Q92-R89+R91</f>
        <v>3382</v>
      </c>
      <c r="S84" s="43" t="n">
        <f aca="false">S92-R92-S89+S91</f>
        <v>3627</v>
      </c>
      <c r="T84" s="43" t="n">
        <f aca="false">T92-S92-T89+T91</f>
        <v>4540</v>
      </c>
      <c r="U84" s="43" t="n">
        <f aca="false">U92-T92-U89+U91</f>
        <v>6332</v>
      </c>
      <c r="V84" s="43" t="n">
        <f aca="false">V92-U92-V89+V91</f>
        <v>5591</v>
      </c>
      <c r="W84" s="43" t="n">
        <f aca="false">W92-V92-W89+W91</f>
        <v>5121</v>
      </c>
      <c r="X84" s="64" t="n">
        <f aca="false">X82+X83</f>
        <v>6171.81389830509</v>
      </c>
      <c r="Y84" s="64" t="n">
        <f aca="false">Y82+Y83</f>
        <v>7833.45610169492</v>
      </c>
      <c r="Z84" s="64" t="n">
        <f aca="false">Z82+Z83</f>
        <v>5646.2417</v>
      </c>
      <c r="AA84" s="64" t="n">
        <f aca="false">AA82+AA83</f>
        <v>5928.553785</v>
      </c>
      <c r="AB84" s="64" t="n">
        <f aca="false">AB82+AB83</f>
        <v>7340.11421</v>
      </c>
      <c r="AC84" s="64" t="n">
        <f aca="false">AC82+AC83</f>
        <v>9316.298805</v>
      </c>
      <c r="AD84" s="64" t="n">
        <f aca="false">AD82+AD83</f>
        <v>6061.31941</v>
      </c>
      <c r="AE84" s="64" t="n">
        <f aca="false">AE82+AE83</f>
        <v>6364.3853805</v>
      </c>
      <c r="AF84" s="64" t="n">
        <f aca="false">AF82+AF83</f>
        <v>7879.715233</v>
      </c>
      <c r="AG84" s="64" t="n">
        <f aca="false">AG82+AG83</f>
        <v>10001.1770265</v>
      </c>
      <c r="AH84" s="64" t="n">
        <f aca="false">AH82+AH83</f>
        <v>6227.2259364</v>
      </c>
      <c r="AI84" s="64" t="n">
        <f aca="false">AI82+AI83</f>
        <v>6538.58723322</v>
      </c>
      <c r="AJ84" s="64" t="n">
        <f aca="false">AJ82+AJ83</f>
        <v>8095.39371732</v>
      </c>
      <c r="AK84" s="64" t="n">
        <f aca="false">AK82+AK83</f>
        <v>10274.92279506</v>
      </c>
      <c r="AL84" s="64" t="n">
        <f aca="false">AL82+AL83</f>
        <v>6414.042714492</v>
      </c>
      <c r="AM84" s="64" t="n">
        <f aca="false">AM82+AM83</f>
        <v>6734.7448502166</v>
      </c>
      <c r="AN84" s="64" t="n">
        <f aca="false">AN82+AN83</f>
        <v>8338.2555288396</v>
      </c>
      <c r="AO84" s="64" t="n">
        <f aca="false">AO82+AO83</f>
        <v>10583.1704789118</v>
      </c>
    </row>
    <row r="85" customFormat="false" ht="15" hidden="false" customHeight="false" outlineLevel="0" collapsed="false">
      <c r="C85" s="46" t="s">
        <v>533</v>
      </c>
      <c r="D85" s="58"/>
      <c r="E85" s="58"/>
      <c r="F85" s="40"/>
      <c r="G85" s="65" t="n">
        <f aca="false">G82/G84</f>
        <v>0.134220681169957</v>
      </c>
      <c r="H85" s="66" t="n">
        <f aca="false">H82/H84</f>
        <v>0.423782642662398</v>
      </c>
      <c r="I85" s="66" t="n">
        <f aca="false">I82/I84</f>
        <v>0.470279637515341</v>
      </c>
      <c r="J85" s="66" t="n">
        <f aca="false">J82/J84</f>
        <v>0.481882499902773</v>
      </c>
      <c r="K85" s="66" t="n">
        <f aca="false">K82/K84</f>
        <v>0.47551370068192</v>
      </c>
      <c r="L85" s="66" t="n">
        <f aca="false">L82/L84</f>
        <v>0.47551370068192</v>
      </c>
      <c r="N85" s="40"/>
      <c r="O85" s="40"/>
      <c r="P85" s="40"/>
      <c r="Q85" s="40"/>
      <c r="R85" s="40"/>
      <c r="S85" s="40"/>
      <c r="T85" s="40"/>
      <c r="U85" s="40"/>
      <c r="V85" s="65" t="n">
        <f aca="false">V82/V84</f>
        <v>0.411375424789841</v>
      </c>
      <c r="W85" s="65" t="n">
        <f aca="false">W82/W84</f>
        <v>0.527240773286468</v>
      </c>
      <c r="X85" s="66" t="n">
        <f aca="false">X82/X84</f>
        <v>0.390906423082168</v>
      </c>
      <c r="Y85" s="66" t="n">
        <f aca="false">Y82/Y84</f>
        <v>0.390906423082168</v>
      </c>
      <c r="Z85" s="66" t="n">
        <f aca="false">Z82/Z84</f>
        <v>0.47027963751534</v>
      </c>
      <c r="AA85" s="66" t="n">
        <f aca="false">AA82/AA84</f>
        <v>0.470279637515341</v>
      </c>
      <c r="AB85" s="66" t="n">
        <f aca="false">AB82/AB84</f>
        <v>0.470279637515341</v>
      </c>
      <c r="AC85" s="66" t="n">
        <f aca="false">AC82/AC84</f>
        <v>0.470279637515341</v>
      </c>
      <c r="AD85" s="66" t="n">
        <f aca="false">AD82/AD84</f>
        <v>0.481882499902773</v>
      </c>
      <c r="AE85" s="66" t="n">
        <f aca="false">AE82/AE84</f>
        <v>0.481882499902773</v>
      </c>
      <c r="AF85" s="66" t="n">
        <f aca="false">AF82/AF84</f>
        <v>0.481882499902773</v>
      </c>
      <c r="AG85" s="66" t="n">
        <f aca="false">AG82/AG84</f>
        <v>0.481882499902773</v>
      </c>
      <c r="AH85" s="66" t="n">
        <f aca="false">AH82/AH84</f>
        <v>0.47551370068192</v>
      </c>
      <c r="AI85" s="66" t="n">
        <f aca="false">AI82/AI84</f>
        <v>0.47551370068192</v>
      </c>
      <c r="AJ85" s="66" t="n">
        <f aca="false">AJ82/AJ84</f>
        <v>0.47551370068192</v>
      </c>
      <c r="AK85" s="66" t="n">
        <f aca="false">AK82/AK84</f>
        <v>0.47551370068192</v>
      </c>
      <c r="AL85" s="66" t="n">
        <f aca="false">AL82/AL84</f>
        <v>0.47551370068192</v>
      </c>
      <c r="AM85" s="66" t="n">
        <f aca="false">AM82/AM84</f>
        <v>0.47551370068192</v>
      </c>
      <c r="AN85" s="66" t="n">
        <f aca="false">AN82/AN84</f>
        <v>0.47551370068192</v>
      </c>
      <c r="AO85" s="66" t="n">
        <f aca="false">AO82/AO84</f>
        <v>0.47551370068192</v>
      </c>
    </row>
    <row r="87" customFormat="false" ht="15" hidden="false" customHeight="false" outlineLevel="0" collapsed="false">
      <c r="C87" s="48" t="s">
        <v>534</v>
      </c>
      <c r="D87" s="58"/>
      <c r="E87" s="58"/>
    </row>
    <row r="88" customFormat="false" ht="15" hidden="false" customHeight="false" outlineLevel="0" collapsed="false">
      <c r="C88" s="40" t="s">
        <v>535</v>
      </c>
      <c r="D88" s="58"/>
      <c r="E88" s="58"/>
      <c r="F88" s="40"/>
      <c r="G88" s="41" t="n">
        <f aca="false">R88</f>
        <v>20005</v>
      </c>
      <c r="H88" s="62" t="n">
        <f aca="false">V88</f>
        <v>30508</v>
      </c>
      <c r="I88" s="62" t="n">
        <f aca="false">Z88</f>
        <v>47594.2278847458</v>
      </c>
      <c r="J88" s="62" t="n">
        <f aca="false">AD88</f>
        <v>61240.8311626178</v>
      </c>
      <c r="K88" s="62" t="n">
        <f aca="false">AH88</f>
        <v>74714.4509818226</v>
      </c>
      <c r="L88" s="62" t="n">
        <f aca="false">AL88</f>
        <v>86865.6662426475</v>
      </c>
      <c r="N88" s="40"/>
      <c r="O88" s="41" t="n">
        <f aca="false">N92</f>
        <v>14849</v>
      </c>
      <c r="P88" s="41" t="n">
        <f aca="false">O92</f>
        <v>17540</v>
      </c>
      <c r="Q88" s="41" t="n">
        <f aca="false">P92</f>
        <v>18624</v>
      </c>
      <c r="R88" s="41" t="n">
        <f aca="false">Q92</f>
        <v>20005</v>
      </c>
      <c r="S88" s="41" t="n">
        <f aca="false">R92</f>
        <v>21996</v>
      </c>
      <c r="T88" s="41" t="n">
        <f aca="false">S92</f>
        <v>23950</v>
      </c>
      <c r="U88" s="41" t="n">
        <f aca="false">T92</f>
        <v>26455</v>
      </c>
      <c r="V88" s="41" t="n">
        <f aca="false">U92</f>
        <v>30508</v>
      </c>
      <c r="W88" s="41" t="n">
        <f aca="false">V92</f>
        <v>38598</v>
      </c>
      <c r="X88" s="62" t="n">
        <f aca="false">W92</f>
        <v>40589</v>
      </c>
      <c r="Y88" s="62" t="n">
        <f aca="false">X92</f>
        <v>43408.0482033898</v>
      </c>
      <c r="Z88" s="62" t="n">
        <f aca="false">Y92</f>
        <v>47594.2278847458</v>
      </c>
      <c r="AA88" s="62" t="n">
        <f aca="false">Z92</f>
        <v>49912.126915122</v>
      </c>
      <c r="AB88" s="62" t="n">
        <f aca="false">AA92</f>
        <v>52349.8768883042</v>
      </c>
      <c r="AC88" s="62" t="n">
        <f aca="false">AB92</f>
        <v>55972.5932669528</v>
      </c>
      <c r="AD88" s="62" t="n">
        <f aca="false">AC92</f>
        <v>61240.8311626178</v>
      </c>
      <c r="AE88" s="62" t="n">
        <f aca="false">AD92</f>
        <v>63385.8755635233</v>
      </c>
      <c r="AF88" s="62" t="n">
        <f aca="false">AE92</f>
        <v>65692.2750167505</v>
      </c>
      <c r="AG88" s="62" t="n">
        <f aca="false">AF92</f>
        <v>69302.1602621122</v>
      </c>
      <c r="AH88" s="62" t="n">
        <f aca="false">AG92</f>
        <v>74714.4509818226</v>
      </c>
      <c r="AI88" s="62" t="n">
        <f aca="false">AH92</f>
        <v>76446.3063664205</v>
      </c>
      <c r="AJ88" s="62" t="n">
        <f aca="false">AI92</f>
        <v>78376.97108146</v>
      </c>
      <c r="AK88" s="62" t="n">
        <f aca="false">AJ92</f>
        <v>81678.4847323522</v>
      </c>
      <c r="AL88" s="62" t="n">
        <f aca="false">AK92</f>
        <v>86865.6662426475</v>
      </c>
      <c r="AM88" s="62" t="n">
        <f aca="false">AL92</f>
        <v>88268.2608443119</v>
      </c>
      <c r="AN88" s="62" t="n">
        <f aca="false">AM92</f>
        <v>89899.7823664249</v>
      </c>
      <c r="AO88" s="62" t="n">
        <f aca="false">AN92</f>
        <v>92966.5368710355</v>
      </c>
    </row>
    <row r="89" customFormat="false" ht="15" hidden="false" customHeight="false" outlineLevel="0" collapsed="false">
      <c r="C89" s="40" t="s">
        <v>536</v>
      </c>
      <c r="D89" s="58"/>
      <c r="E89" s="58" t="s">
        <v>537</v>
      </c>
      <c r="F89" s="40"/>
      <c r="G89" s="40"/>
      <c r="H89" s="62" t="n">
        <f aca="false">SUM(V89:Y89)</f>
        <v>5000</v>
      </c>
      <c r="I89" s="68"/>
      <c r="J89" s="68"/>
      <c r="K89" s="68"/>
      <c r="L89" s="68"/>
      <c r="N89" s="40"/>
      <c r="O89" s="40"/>
      <c r="P89" s="40"/>
      <c r="Q89" s="40"/>
      <c r="R89" s="40"/>
      <c r="S89" s="40"/>
      <c r="T89" s="40"/>
      <c r="U89" s="40"/>
      <c r="V89" s="91" t="n">
        <v>5000</v>
      </c>
      <c r="W89" s="40"/>
      <c r="X89" s="68"/>
      <c r="Y89" s="68"/>
      <c r="Z89" s="68"/>
      <c r="AA89" s="68"/>
      <c r="AB89" s="68"/>
      <c r="AC89" s="68"/>
      <c r="AD89" s="68"/>
      <c r="AE89" s="68"/>
      <c r="AF89" s="68"/>
      <c r="AG89" s="68"/>
      <c r="AH89" s="68"/>
      <c r="AI89" s="68"/>
      <c r="AJ89" s="68"/>
      <c r="AK89" s="68"/>
      <c r="AL89" s="68"/>
      <c r="AM89" s="68"/>
      <c r="AN89" s="68"/>
      <c r="AO89" s="68"/>
    </row>
    <row r="90" customFormat="false" ht="15" hidden="false" customHeight="false" outlineLevel="0" collapsed="false">
      <c r="C90" s="40" t="s">
        <v>538</v>
      </c>
      <c r="D90" s="58"/>
      <c r="E90" s="58"/>
      <c r="F90" s="40"/>
      <c r="G90" s="41" t="n">
        <f aca="false">SUM(R90:U90)</f>
        <v>17881</v>
      </c>
      <c r="H90" s="62" t="n">
        <f aca="false">SUM(V90:Y90)</f>
        <v>24717.27</v>
      </c>
      <c r="I90" s="62" t="n">
        <f aca="false">SUM(Z90:AC90)</f>
        <v>28231.2085</v>
      </c>
      <c r="J90" s="62" t="n">
        <f aca="false">SUM(AD90:AG90)</f>
        <v>30306.59705</v>
      </c>
      <c r="K90" s="62" t="n">
        <f aca="false">SUM(AH90:AK90)</f>
        <v>31136.129682</v>
      </c>
      <c r="L90" s="62" t="n">
        <f aca="false">SUM(AL90:AO90)</f>
        <v>32070.21357246</v>
      </c>
      <c r="N90" s="40"/>
      <c r="O90" s="41" t="n">
        <f aca="false">O84</f>
        <v>3977</v>
      </c>
      <c r="P90" s="41" t="n">
        <f aca="false">P84</f>
        <v>2535</v>
      </c>
      <c r="Q90" s="41" t="n">
        <f aca="false">Q84</f>
        <v>2948</v>
      </c>
      <c r="R90" s="41" t="n">
        <f aca="false">R84</f>
        <v>3382</v>
      </c>
      <c r="S90" s="41" t="n">
        <f aca="false">S84</f>
        <v>3627</v>
      </c>
      <c r="T90" s="41" t="n">
        <f aca="false">T84</f>
        <v>4540</v>
      </c>
      <c r="U90" s="41" t="n">
        <f aca="false">U84</f>
        <v>6332</v>
      </c>
      <c r="V90" s="41" t="n">
        <f aca="false">V84</f>
        <v>5591</v>
      </c>
      <c r="W90" s="41" t="n">
        <f aca="false">W84</f>
        <v>5121</v>
      </c>
      <c r="X90" s="62" t="n">
        <f aca="false">X84</f>
        <v>6171.81389830509</v>
      </c>
      <c r="Y90" s="62" t="n">
        <f aca="false">Y84</f>
        <v>7833.45610169492</v>
      </c>
      <c r="Z90" s="62" t="n">
        <f aca="false">Z84</f>
        <v>5646.2417</v>
      </c>
      <c r="AA90" s="62" t="n">
        <f aca="false">AA84</f>
        <v>5928.553785</v>
      </c>
      <c r="AB90" s="62" t="n">
        <f aca="false">AB84</f>
        <v>7340.11421</v>
      </c>
      <c r="AC90" s="62" t="n">
        <f aca="false">AC84</f>
        <v>9316.298805</v>
      </c>
      <c r="AD90" s="62" t="n">
        <f aca="false">AD84</f>
        <v>6061.31941</v>
      </c>
      <c r="AE90" s="62" t="n">
        <f aca="false">AE84</f>
        <v>6364.3853805</v>
      </c>
      <c r="AF90" s="62" t="n">
        <f aca="false">AF84</f>
        <v>7879.715233</v>
      </c>
      <c r="AG90" s="62" t="n">
        <f aca="false">AG84</f>
        <v>10001.1770265</v>
      </c>
      <c r="AH90" s="62" t="n">
        <f aca="false">AH84</f>
        <v>6227.2259364</v>
      </c>
      <c r="AI90" s="62" t="n">
        <f aca="false">AI84</f>
        <v>6538.58723322</v>
      </c>
      <c r="AJ90" s="62" t="n">
        <f aca="false">AJ84</f>
        <v>8095.39371732</v>
      </c>
      <c r="AK90" s="62" t="n">
        <f aca="false">AK84</f>
        <v>10274.92279506</v>
      </c>
      <c r="AL90" s="62" t="n">
        <f aca="false">AL84</f>
        <v>6414.042714492</v>
      </c>
      <c r="AM90" s="62" t="n">
        <f aca="false">AM84</f>
        <v>6734.7448502166</v>
      </c>
      <c r="AN90" s="62" t="n">
        <f aca="false">AN84</f>
        <v>8338.2555288396</v>
      </c>
      <c r="AO90" s="62" t="n">
        <f aca="false">AO84</f>
        <v>10583.1704789118</v>
      </c>
    </row>
    <row r="91" customFormat="false" ht="15" hidden="false" customHeight="false" outlineLevel="0" collapsed="false">
      <c r="C91" s="40" t="s">
        <v>539</v>
      </c>
      <c r="D91" s="58"/>
      <c r="E91" s="58" t="s">
        <v>540</v>
      </c>
      <c r="F91" s="41" t="n">
        <f aca="false">SUM(N91:Q91)</f>
        <v>5534</v>
      </c>
      <c r="G91" s="41" t="n">
        <f aca="false">SUM(R91:U91)</f>
        <v>7378</v>
      </c>
      <c r="H91" s="62" t="n">
        <f aca="false">SUM(V91:Y91)</f>
        <v>12631.0421152542</v>
      </c>
      <c r="I91" s="62" t="n">
        <f aca="false">SUM(Z91:AC91)</f>
        <v>14584.605222128</v>
      </c>
      <c r="J91" s="62" t="n">
        <f aca="false">SUM(AD91:AG91)</f>
        <v>16832.9772307952</v>
      </c>
      <c r="K91" s="62" t="n">
        <f aca="false">SUM(AH91:AK91)</f>
        <v>18984.9144211751</v>
      </c>
      <c r="L91" s="62" t="n">
        <f aca="false">SUM(AL91:AO91)</f>
        <v>20935.5239801417</v>
      </c>
      <c r="N91" s="41" t="n">
        <f aca="false">'GEV Quarterly'!B140</f>
        <v>1230</v>
      </c>
      <c r="O91" s="41" t="n">
        <f aca="false">'GEV Quarterly'!C140</f>
        <v>1286</v>
      </c>
      <c r="P91" s="41" t="n">
        <f aca="false">'GEV Quarterly'!D140</f>
        <v>1451</v>
      </c>
      <c r="Q91" s="41" t="n">
        <f aca="false">'GEV Quarterly'!E140</f>
        <v>1567</v>
      </c>
      <c r="R91" s="41" t="n">
        <f aca="false">'GEV Quarterly'!F140</f>
        <v>1391</v>
      </c>
      <c r="S91" s="41" t="n">
        <f aca="false">'GEV Quarterly'!G140</f>
        <v>1673</v>
      </c>
      <c r="T91" s="41" t="n">
        <f aca="false">'GEV Quarterly'!H140</f>
        <v>2035</v>
      </c>
      <c r="U91" s="41" t="n">
        <f aca="false">'GEV Quarterly'!I140</f>
        <v>2279</v>
      </c>
      <c r="V91" s="41" t="n">
        <f aca="false">'GEV Quarterly'!J191</f>
        <v>2501</v>
      </c>
      <c r="W91" s="41" t="n">
        <f aca="false">'GEV Quarterly'!K191</f>
        <v>3130</v>
      </c>
      <c r="X91" s="62" t="n">
        <f aca="false">'Key Drivers'!H26*(X88+X89)+'Key Drivers'!H96*X90</f>
        <v>3352.76569491525</v>
      </c>
      <c r="Y91" s="62" t="n">
        <f aca="false">'Key Drivers'!H26*(Y88+Y89)+'Key Drivers'!H96*Y90</f>
        <v>3647.27642033898</v>
      </c>
      <c r="Z91" s="62" t="n">
        <f aca="false">'Key Drivers'!I26*(Z88+Z89)+'Key Drivers'!I96*Z90</f>
        <v>3328.34266962373</v>
      </c>
      <c r="AA91" s="62" t="n">
        <f aca="false">'Key Drivers'!I26*(AA88+AA89)+'Key Drivers'!I96*AA90</f>
        <v>3490.80381181781</v>
      </c>
      <c r="AB91" s="62" t="n">
        <f aca="false">'Key Drivers'!I26*(AB88+AB89)+'Key Drivers'!I96*AB90</f>
        <v>3717.39783135147</v>
      </c>
      <c r="AC91" s="62" t="n">
        <f aca="false">'Key Drivers'!I26*(AC88+AC89)+'Key Drivers'!I96*AC90</f>
        <v>4048.06090933498</v>
      </c>
      <c r="AD91" s="62" t="n">
        <f aca="false">'Key Drivers'!J26*(AD88+AD89)+'Key Drivers'!J96*AD90</f>
        <v>3916.27500909445</v>
      </c>
      <c r="AE91" s="62" t="n">
        <f aca="false">'Key Drivers'!J26*(AE88+AE89)+'Key Drivers'!J96*AE90</f>
        <v>4057.98592727288</v>
      </c>
      <c r="AF91" s="62" t="n">
        <f aca="false">'Key Drivers'!J26*(AF88+AF89)+'Key Drivers'!J96*AF90</f>
        <v>4269.82998763828</v>
      </c>
      <c r="AG91" s="62" t="n">
        <f aca="false">'Key Drivers'!J26*(AG88+AG89)+'Key Drivers'!J96*AG90</f>
        <v>4588.88630678962</v>
      </c>
      <c r="AH91" s="62" t="n">
        <f aca="false">'Key Drivers'!K26*(AH88+AH89)+'Key Drivers'!K96*AH90</f>
        <v>4495.37055180206</v>
      </c>
      <c r="AI91" s="62" t="n">
        <f aca="false">'Key Drivers'!K26*(AI88+AI89)+'Key Drivers'!K96*AI90</f>
        <v>4607.92251818055</v>
      </c>
      <c r="AJ91" s="62" t="n">
        <f aca="false">'Key Drivers'!K26*(AJ88+AJ89)+'Key Drivers'!K96*AJ90</f>
        <v>4793.88006642776</v>
      </c>
      <c r="AK91" s="62" t="n">
        <f aca="false">'Key Drivers'!K26*(AK88+AK89)+'Key Drivers'!K96*AK90</f>
        <v>5087.74128476473</v>
      </c>
      <c r="AL91" s="62" t="n">
        <f aca="false">'Key Drivers'!L26*(AL88+AL89)+'Key Drivers'!L96*AL90</f>
        <v>5011.44811282757</v>
      </c>
      <c r="AM91" s="62" t="n">
        <f aca="false">'Key Drivers'!L26*(AM88+AM89)+'Key Drivers'!L96*AM90</f>
        <v>5103.22332810367</v>
      </c>
      <c r="AN91" s="62" t="n">
        <f aca="false">'Key Drivers'!L26*(AN88+AN89)+'Key Drivers'!L96*AN90</f>
        <v>5271.50102422892</v>
      </c>
      <c r="AO91" s="62" t="n">
        <f aca="false">'Key Drivers'!L26*(AO88+AO89)+'Key Drivers'!L96*AO90</f>
        <v>5549.35151498151</v>
      </c>
    </row>
    <row r="92" customFormat="false" ht="15" hidden="false" customHeight="false" outlineLevel="0" collapsed="false">
      <c r="C92" s="42" t="s">
        <v>541</v>
      </c>
      <c r="D92" s="63"/>
      <c r="E92" s="63" t="s">
        <v>542</v>
      </c>
      <c r="F92" s="43" t="n">
        <f aca="false">Q92</f>
        <v>20005</v>
      </c>
      <c r="G92" s="43" t="n">
        <f aca="false">U92</f>
        <v>30508</v>
      </c>
      <c r="H92" s="64" t="n">
        <f aca="false">Y92</f>
        <v>47594.2278847458</v>
      </c>
      <c r="I92" s="64" t="n">
        <f aca="false">AC92</f>
        <v>61240.8311626178</v>
      </c>
      <c r="J92" s="64" t="n">
        <f aca="false">AG92</f>
        <v>74714.4509818226</v>
      </c>
      <c r="K92" s="64" t="n">
        <f aca="false">AK92</f>
        <v>86865.6662426475</v>
      </c>
      <c r="L92" s="64" t="n">
        <f aca="false">AO92</f>
        <v>98000.3558349658</v>
      </c>
      <c r="N92" s="43" t="n">
        <f aca="false">'GEV Quarterly'!B227</f>
        <v>14849</v>
      </c>
      <c r="O92" s="43" t="n">
        <f aca="false">'GEV Quarterly'!C227</f>
        <v>17540</v>
      </c>
      <c r="P92" s="43" t="n">
        <f aca="false">'GEV Quarterly'!D227</f>
        <v>18624</v>
      </c>
      <c r="Q92" s="43" t="n">
        <f aca="false">'GEV Quarterly'!E227</f>
        <v>20005</v>
      </c>
      <c r="R92" s="43" t="n">
        <f aca="false">'GEV Quarterly'!F227</f>
        <v>21996</v>
      </c>
      <c r="S92" s="43" t="n">
        <f aca="false">'GEV Quarterly'!G227</f>
        <v>23950</v>
      </c>
      <c r="T92" s="43" t="n">
        <f aca="false">'GEV Quarterly'!H227</f>
        <v>26455</v>
      </c>
      <c r="U92" s="43" t="n">
        <f aca="false">'GEV Quarterly'!I227</f>
        <v>30508</v>
      </c>
      <c r="V92" s="43" t="n">
        <f aca="false">'GEV Quarterly'!J240</f>
        <v>38598</v>
      </c>
      <c r="W92" s="43" t="n">
        <f aca="false">'GEV Quarterly'!K240</f>
        <v>40589</v>
      </c>
      <c r="X92" s="64" t="n">
        <f aca="false">X88+X89+X90-X91</f>
        <v>43408.0482033898</v>
      </c>
      <c r="Y92" s="64" t="n">
        <f aca="false">Y88+Y89+Y90-Y91</f>
        <v>47594.2278847458</v>
      </c>
      <c r="Z92" s="64" t="n">
        <f aca="false">Z88+Z89+Z90-Z91</f>
        <v>49912.126915122</v>
      </c>
      <c r="AA92" s="64" t="n">
        <f aca="false">AA88+AA89+AA90-AA91</f>
        <v>52349.8768883042</v>
      </c>
      <c r="AB92" s="64" t="n">
        <f aca="false">AB88+AB89+AB90-AB91</f>
        <v>55972.5932669528</v>
      </c>
      <c r="AC92" s="64" t="n">
        <f aca="false">AC88+AC89+AC90-AC91</f>
        <v>61240.8311626178</v>
      </c>
      <c r="AD92" s="64" t="n">
        <f aca="false">AD88+AD89+AD90-AD91</f>
        <v>63385.8755635233</v>
      </c>
      <c r="AE92" s="64" t="n">
        <f aca="false">AE88+AE89+AE90-AE91</f>
        <v>65692.2750167505</v>
      </c>
      <c r="AF92" s="64" t="n">
        <f aca="false">AF88+AF89+AF90-AF91</f>
        <v>69302.1602621122</v>
      </c>
      <c r="AG92" s="64" t="n">
        <f aca="false">AG88+AG89+AG90-AG91</f>
        <v>74714.4509818226</v>
      </c>
      <c r="AH92" s="64" t="n">
        <f aca="false">AH88+AH89+AH90-AH91</f>
        <v>76446.3063664205</v>
      </c>
      <c r="AI92" s="64" t="n">
        <f aca="false">AI88+AI89+AI90-AI91</f>
        <v>78376.97108146</v>
      </c>
      <c r="AJ92" s="64" t="n">
        <f aca="false">AJ88+AJ89+AJ90-AJ91</f>
        <v>81678.4847323522</v>
      </c>
      <c r="AK92" s="64" t="n">
        <f aca="false">AK88+AK89+AK90-AK91</f>
        <v>86865.6662426475</v>
      </c>
      <c r="AL92" s="64" t="n">
        <f aca="false">AL88+AL89+AL90-AL91</f>
        <v>88268.2608443119</v>
      </c>
      <c r="AM92" s="64" t="n">
        <f aca="false">AM88+AM89+AM90-AM91</f>
        <v>89899.7823664249</v>
      </c>
      <c r="AN92" s="64" t="n">
        <f aca="false">AN88+AN89+AN90-AN91</f>
        <v>92966.5368710355</v>
      </c>
      <c r="AO92" s="64" t="n">
        <f aca="false">AO88+AO89+AO90-AO91</f>
        <v>98000.3558349658</v>
      </c>
    </row>
    <row r="93" customFormat="false" ht="15" hidden="false" customHeight="false" outlineLevel="0" collapsed="false">
      <c r="C93" s="46" t="s">
        <v>543</v>
      </c>
      <c r="D93" s="58"/>
      <c r="E93" s="58" t="s">
        <v>544</v>
      </c>
      <c r="F93" s="40"/>
      <c r="G93" s="65" t="n">
        <f aca="false">G91/(G88+G89)</f>
        <v>0.368807798050487</v>
      </c>
      <c r="H93" s="66" t="n">
        <f aca="false">H91/(H88+H89)</f>
        <v>0.355723840127696</v>
      </c>
      <c r="I93" s="66" t="n">
        <f aca="false">I91/(I88+I89)</f>
        <v>0.30643642875027</v>
      </c>
      <c r="J93" s="66" t="n">
        <f aca="false">J91/(J88+J89)</f>
        <v>0.274865264093122</v>
      </c>
      <c r="K93" s="66" t="n">
        <f aca="false">K91/(K88+K89)</f>
        <v>0.254099630950831</v>
      </c>
      <c r="L93" s="66" t="n">
        <f aca="false">L91/(L88+L89)</f>
        <v>0.241010342586461</v>
      </c>
      <c r="N93" s="40"/>
      <c r="O93" s="65" t="n">
        <f aca="false">O91/(O88+O89)</f>
        <v>0.0866051585965385</v>
      </c>
      <c r="P93" s="65" t="n">
        <f aca="false">P91/(P88+P89)</f>
        <v>0.0827251995438997</v>
      </c>
      <c r="Q93" s="65" t="n">
        <f aca="false">Q91/(Q88+Q89)</f>
        <v>0.0841387457044674</v>
      </c>
      <c r="R93" s="65" t="n">
        <f aca="false">R91/(R88+R89)</f>
        <v>0.0695326168457886</v>
      </c>
      <c r="S93" s="65" t="n">
        <f aca="false">S91/(S88+S89)</f>
        <v>0.076059283506092</v>
      </c>
      <c r="T93" s="65" t="n">
        <f aca="false">T91/(T88+T89)</f>
        <v>0.0849686847599165</v>
      </c>
      <c r="U93" s="65" t="n">
        <f aca="false">U91/(U88+U89)</f>
        <v>0.0861462861462862</v>
      </c>
      <c r="V93" s="65" t="n">
        <f aca="false">V91/(V88+V89)</f>
        <v>0.070434831587248</v>
      </c>
      <c r="W93" s="65" t="n">
        <f aca="false">W91/(W88+W89)</f>
        <v>0.0810922845743303</v>
      </c>
      <c r="X93" s="66" t="n">
        <f aca="false">X91/(X88+X89)</f>
        <v>0.0826028159086268</v>
      </c>
      <c r="Y93" s="66" t="n">
        <f aca="false">Y91/(Y88+Y89)</f>
        <v>0.0840230457552376</v>
      </c>
      <c r="Z93" s="66" t="n">
        <f aca="false">Z91/(Z88+Z89)</f>
        <v>0.0699316454441418</v>
      </c>
      <c r="AA93" s="66" t="n">
        <f aca="false">AA91/(AA88+AA89)</f>
        <v>0.0699389913347931</v>
      </c>
      <c r="AB93" s="66" t="n">
        <f aca="false">AB91/(AB88+AB89)</f>
        <v>0.0710106317782382</v>
      </c>
      <c r="AC93" s="66" t="n">
        <f aca="false">AC91/(AC88+AC89)</f>
        <v>0.0723221968656762</v>
      </c>
      <c r="AD93" s="66" t="n">
        <f aca="false">AD91/(AD88+AD89)</f>
        <v>0.0639487566505302</v>
      </c>
      <c r="AE93" s="66" t="n">
        <f aca="false">AE91/(AE88+AE89)</f>
        <v>0.064020349820775</v>
      </c>
      <c r="AF93" s="66" t="n">
        <f aca="false">AF91/(AF88+AF89)</f>
        <v>0.0649974443197399</v>
      </c>
      <c r="AG93" s="66" t="n">
        <f aca="false">AG91/(AG88+AG89)</f>
        <v>0.0662156315103843</v>
      </c>
      <c r="AH93" s="66" t="n">
        <f aca="false">AH91/(AH88+AH89)</f>
        <v>0.0601673503951164</v>
      </c>
      <c r="AI93" s="66" t="n">
        <f aca="false">AI91/(AI88+AI89)</f>
        <v>0.060276588068153</v>
      </c>
      <c r="AJ93" s="66" t="n">
        <f aca="false">AJ91/(AJ88+AJ89)</f>
        <v>0.0611643956162239</v>
      </c>
      <c r="AK93" s="66" t="n">
        <f aca="false">AK91/(AK88+AK89)</f>
        <v>0.0622898588463837</v>
      </c>
      <c r="AL93" s="66" t="n">
        <f aca="false">AL91/(AL88+AL89)</f>
        <v>0.0576919320324875</v>
      </c>
      <c r="AM93" s="66" t="n">
        <f aca="false">AM91/(AM88+AM89)</f>
        <v>0.0578149300698783</v>
      </c>
      <c r="AN93" s="66" t="n">
        <f aca="false">AN91/(AN88+AN89)</f>
        <v>0.0586375282060492</v>
      </c>
      <c r="AO93" s="66" t="n">
        <f aca="false">AO91/(AO88+AO89)</f>
        <v>0.0596919246618775</v>
      </c>
    </row>
    <row r="94" customFormat="false" ht="15" hidden="false" customHeight="false" outlineLevel="0" collapsed="false">
      <c r="C94" s="46" t="s">
        <v>545</v>
      </c>
      <c r="D94" s="58" t="s">
        <v>508</v>
      </c>
      <c r="E94" s="58" t="s">
        <v>546</v>
      </c>
      <c r="F94" s="86" t="n">
        <f aca="false">F92/F91</f>
        <v>3.61492591254066</v>
      </c>
      <c r="G94" s="86" t="n">
        <f aca="false">G92/G91</f>
        <v>4.13499593385741</v>
      </c>
      <c r="H94" s="87" t="n">
        <f aca="false">H92/H91</f>
        <v>3.76803651278047</v>
      </c>
      <c r="I94" s="87" t="n">
        <f aca="false">I92/I91</f>
        <v>4.1990050625232</v>
      </c>
      <c r="J94" s="87" t="n">
        <f aca="false">J92/J91</f>
        <v>4.4385761328742</v>
      </c>
      <c r="K94" s="87" t="n">
        <f aca="false">K92/K91</f>
        <v>4.57551002419904</v>
      </c>
      <c r="L94" s="87" t="n">
        <f aca="false">L92/L91</f>
        <v>4.68105579434858</v>
      </c>
      <c r="N94" s="86" t="n">
        <f aca="false">N92/(N91*4)</f>
        <v>3.01808943089431</v>
      </c>
      <c r="O94" s="86" t="n">
        <f aca="false">O92/(O91*4)</f>
        <v>3.40979782270607</v>
      </c>
      <c r="P94" s="86" t="n">
        <f aca="false">P92/(P91*4)</f>
        <v>3.20882150241213</v>
      </c>
      <c r="Q94" s="86" t="n">
        <f aca="false">Q92/(Q91*4)</f>
        <v>3.19160816847479</v>
      </c>
      <c r="R94" s="86" t="n">
        <f aca="false">R92/(R91*4)</f>
        <v>3.95327102803738</v>
      </c>
      <c r="S94" s="86" t="n">
        <f aca="false">S92/(S91*4)</f>
        <v>3.57890017931859</v>
      </c>
      <c r="T94" s="86" t="n">
        <f aca="false">T92/(T91*4)</f>
        <v>3.25</v>
      </c>
      <c r="U94" s="86" t="n">
        <f aca="false">U92/(U91*4)</f>
        <v>3.34664326458973</v>
      </c>
      <c r="V94" s="86" t="n">
        <f aca="false">V92/(V91*4)</f>
        <v>3.85825669732107</v>
      </c>
      <c r="W94" s="86" t="n">
        <f aca="false">W92/(W91*4)</f>
        <v>3.24193290734824</v>
      </c>
      <c r="X94" s="87" t="n">
        <f aca="false">X92/(X91*4)</f>
        <v>3.2367343973083</v>
      </c>
      <c r="Y94" s="87" t="n">
        <f aca="false">Y92/(Y91*4)</f>
        <v>3.26231291514795</v>
      </c>
      <c r="Z94" s="87" t="n">
        <f aca="false">Z92/(Z91*4)</f>
        <v>3.74902255187299</v>
      </c>
      <c r="AA94" s="87" t="n">
        <f aca="false">AA92/(AA91*4)</f>
        <v>3.74912768737377</v>
      </c>
      <c r="AB94" s="87" t="n">
        <f aca="false">AB92/(AB91*4)</f>
        <v>3.76423211923243</v>
      </c>
      <c r="AC94" s="87" t="n">
        <f aca="false">AC92/(AC91*4)</f>
        <v>3.78210904765503</v>
      </c>
      <c r="AD94" s="87" t="n">
        <f aca="false">AD92/(AD91*4)</f>
        <v>4.04631157262497</v>
      </c>
      <c r="AE94" s="87" t="n">
        <f aca="false">AE92/(AE91*4)</f>
        <v>4.04709849874333</v>
      </c>
      <c r="AF94" s="87" t="n">
        <f aca="false">AF92/(AF91*4)</f>
        <v>4.05766508635889</v>
      </c>
      <c r="AG94" s="87" t="n">
        <f aca="false">AG92/(AG91*4)</f>
        <v>4.07040216224559</v>
      </c>
      <c r="AH94" s="87" t="n">
        <f aca="false">AH92/(AH91*4)</f>
        <v>4.25139070770125</v>
      </c>
      <c r="AI94" s="87" t="n">
        <f aca="false">AI92/(AI91*4)</f>
        <v>4.25229432418969</v>
      </c>
      <c r="AJ94" s="87" t="n">
        <f aca="false">AJ92/(AJ91*4)</f>
        <v>4.25951857371019</v>
      </c>
      <c r="AK94" s="87" t="n">
        <f aca="false">AK92/(AK91*4)</f>
        <v>4.26838067133874</v>
      </c>
      <c r="AL94" s="87" t="n">
        <f aca="false">AL92/(AL91*4)</f>
        <v>4.40333107602052</v>
      </c>
      <c r="AM94" s="87" t="n">
        <f aca="false">AM92/(AM91*4)</f>
        <v>4.4040685948106</v>
      </c>
      <c r="AN94" s="87" t="n">
        <f aca="false">AN92/(AN91*4)</f>
        <v>4.40892150280071</v>
      </c>
      <c r="AO94" s="87" t="n">
        <f aca="false">AO92/(AO91*4)</f>
        <v>4.41494630365348</v>
      </c>
    </row>
    <row r="95" customFormat="false" ht="15" hidden="false" customHeight="false" outlineLevel="0" collapsed="false">
      <c r="C95" s="46" t="s">
        <v>547</v>
      </c>
      <c r="D95" s="58" t="s">
        <v>504</v>
      </c>
      <c r="E95" s="58"/>
      <c r="F95" s="40"/>
      <c r="G95" s="84" t="n">
        <f aca="false">G84/G91</f>
        <v>2.42355651938195</v>
      </c>
      <c r="H95" s="85" t="n">
        <f aca="false">H84/H91</f>
        <v>1.95686704030141</v>
      </c>
      <c r="I95" s="85" t="n">
        <f aca="false">I84/I91</f>
        <v>1.93568547588571</v>
      </c>
      <c r="J95" s="85" t="n">
        <f aca="false">J84/J91</f>
        <v>1.8004299913479</v>
      </c>
      <c r="K95" s="85" t="n">
        <f aca="false">K84/K91</f>
        <v>1.64004582750565</v>
      </c>
      <c r="L95" s="85" t="n">
        <f aca="false">L84/L91</f>
        <v>1.5318562651157</v>
      </c>
      <c r="N95" s="40"/>
      <c r="O95" s="84" t="n">
        <f aca="false">O84/O91</f>
        <v>3.09253499222395</v>
      </c>
      <c r="P95" s="84" t="n">
        <f aca="false">P84/P91</f>
        <v>1.74707098552722</v>
      </c>
      <c r="Q95" s="84" t="n">
        <f aca="false">Q84/Q91</f>
        <v>1.88130185067007</v>
      </c>
      <c r="R95" s="84" t="n">
        <f aca="false">R84/R91</f>
        <v>2.431344356578</v>
      </c>
      <c r="S95" s="84" t="n">
        <f aca="false">S84/S91</f>
        <v>2.1679617453676</v>
      </c>
      <c r="T95" s="84" t="n">
        <f aca="false">T84/T91</f>
        <v>2.23095823095823</v>
      </c>
      <c r="U95" s="84" t="n">
        <f aca="false">U84/U91</f>
        <v>2.77841158402808</v>
      </c>
      <c r="V95" s="84" t="n">
        <f aca="false">V84/V91</f>
        <v>2.23550579768093</v>
      </c>
      <c r="W95" s="84" t="n">
        <f aca="false">W84/W91</f>
        <v>1.63610223642173</v>
      </c>
      <c r="X95" s="85" t="n">
        <f aca="false">X84/X91</f>
        <v>1.84081276769956</v>
      </c>
      <c r="Y95" s="85" t="n">
        <f aca="false">Y84/Y91</f>
        <v>2.14775498177538</v>
      </c>
      <c r="Z95" s="85" t="n">
        <f aca="false">Z84/Z91</f>
        <v>1.69641237710608</v>
      </c>
      <c r="AA95" s="85" t="n">
        <f aca="false">AA84/AA91</f>
        <v>1.69833485483469</v>
      </c>
      <c r="AB95" s="85" t="n">
        <f aca="false">AB84/AB91</f>
        <v>1.97453018025017</v>
      </c>
      <c r="AC95" s="85" t="n">
        <f aca="false">AC84/AC91</f>
        <v>2.3014225856919</v>
      </c>
      <c r="AD95" s="85" t="n">
        <f aca="false">AD84/AD91</f>
        <v>1.54772568216591</v>
      </c>
      <c r="AE95" s="85" t="n">
        <f aca="false">AE84/AE91</f>
        <v>1.56836063371395</v>
      </c>
      <c r="AF95" s="85" t="n">
        <f aca="false">AF84/AF91</f>
        <v>1.84544004229977</v>
      </c>
      <c r="AG95" s="85" t="n">
        <f aca="false">AG84/AG91</f>
        <v>2.17943447666212</v>
      </c>
      <c r="AH95" s="85" t="n">
        <f aca="false">AH84/AH91</f>
        <v>1.38525308751326</v>
      </c>
      <c r="AI95" s="85" t="n">
        <f aca="false">AI84/AI91</f>
        <v>1.4189881030816</v>
      </c>
      <c r="AJ95" s="85" t="n">
        <f aca="false">AJ84/AJ91</f>
        <v>1.68869341851358</v>
      </c>
      <c r="AK95" s="85" t="n">
        <f aca="false">AK84/AK91</f>
        <v>2.01954506331293</v>
      </c>
      <c r="AL95" s="85" t="n">
        <f aca="false">AL84/AL91</f>
        <v>1.27987810510784</v>
      </c>
      <c r="AM95" s="85" t="n">
        <f aca="false">AM84/AM91</f>
        <v>1.31970411977231</v>
      </c>
      <c r="AN95" s="85" t="n">
        <f aca="false">AN84/AN91</f>
        <v>1.58176115123856</v>
      </c>
      <c r="AO95" s="85" t="n">
        <f aca="false">AO84/AO91</f>
        <v>1.90710039728796</v>
      </c>
    </row>
    <row r="96" customFormat="false" ht="15" hidden="false" customHeight="false" outlineLevel="0" collapsed="false">
      <c r="C96" s="46" t="s">
        <v>60</v>
      </c>
      <c r="D96" s="58"/>
      <c r="E96" s="58"/>
      <c r="F96" s="40"/>
      <c r="G96" s="65" t="n">
        <f aca="false">G91/F91-1</f>
        <v>0.333212865919769</v>
      </c>
      <c r="H96" s="66" t="n">
        <f aca="false">H91/G91-1</f>
        <v>0.711987275041236</v>
      </c>
      <c r="I96" s="66" t="n">
        <f aca="false">I91/H91-1</f>
        <v>0.154663652377065</v>
      </c>
      <c r="J96" s="66" t="n">
        <f aca="false">J91/I91-1</f>
        <v>0.154160635438796</v>
      </c>
      <c r="K96" s="66" t="n">
        <f aca="false">K91/J91-1</f>
        <v>0.127840557310503</v>
      </c>
      <c r="L96" s="66" t="n">
        <f aca="false">L91/K91-1</f>
        <v>0.102745238439997</v>
      </c>
      <c r="N96" s="40"/>
      <c r="O96" s="40"/>
      <c r="P96" s="40"/>
      <c r="Q96" s="40"/>
      <c r="R96" s="65" t="n">
        <f aca="false">R91/N91-1</f>
        <v>0.130894308943089</v>
      </c>
      <c r="S96" s="65" t="n">
        <f aca="false">S91/O91-1</f>
        <v>0.300933125972006</v>
      </c>
      <c r="T96" s="65" t="n">
        <f aca="false">T91/P91-1</f>
        <v>0.402481047553412</v>
      </c>
      <c r="U96" s="65" t="n">
        <f aca="false">U91/Q91-1</f>
        <v>0.454371410338226</v>
      </c>
      <c r="V96" s="65" t="n">
        <f aca="false">V91/R91-1</f>
        <v>0.797987059669303</v>
      </c>
      <c r="W96" s="65" t="n">
        <f aca="false">W91/S91-1</f>
        <v>0.87089061566049</v>
      </c>
      <c r="X96" s="66" t="n">
        <f aca="false">X91/T91-1</f>
        <v>0.647550710032066</v>
      </c>
      <c r="Y96" s="66" t="n">
        <f aca="false">Y91/U91-1</f>
        <v>0.600384563553744</v>
      </c>
      <c r="Z96" s="66" t="n">
        <f aca="false">Z91/V91-1</f>
        <v>0.330804745951111</v>
      </c>
      <c r="AA96" s="66" t="n">
        <f aca="false">AA91/W91-1</f>
        <v>0.115272783328374</v>
      </c>
      <c r="AB96" s="66" t="n">
        <f aca="false">AB91/X91-1</f>
        <v>0.10875562732857</v>
      </c>
      <c r="AC96" s="66" t="n">
        <f aca="false">AC91/Y91-1</f>
        <v>0.109885964979519</v>
      </c>
      <c r="AD96" s="66" t="n">
        <f aca="false">AD91/Z91-1</f>
        <v>0.176644173340837</v>
      </c>
      <c r="AE96" s="66" t="n">
        <f aca="false">AE91/AA91-1</f>
        <v>0.162478943541576</v>
      </c>
      <c r="AF96" s="66" t="n">
        <f aca="false">AF91/AB91-1</f>
        <v>0.14860721971368</v>
      </c>
      <c r="AG96" s="66" t="n">
        <f aca="false">AG91/AC91-1</f>
        <v>0.133601101754047</v>
      </c>
      <c r="AH96" s="66" t="n">
        <f aca="false">AH91/AD91-1</f>
        <v>0.147868967670255</v>
      </c>
      <c r="AI96" s="66" t="n">
        <f aca="false">AI91/AE91-1</f>
        <v>0.135519590447976</v>
      </c>
      <c r="AJ96" s="66" t="n">
        <f aca="false">AJ91/AF91-1</f>
        <v>0.122733242378895</v>
      </c>
      <c r="AK96" s="66" t="n">
        <f aca="false">AK91/AG91-1</f>
        <v>0.108709378403429</v>
      </c>
      <c r="AL96" s="66" t="n">
        <f aca="false">AL91/AH91-1</f>
        <v>0.114802006882085</v>
      </c>
      <c r="AM96" s="66" t="n">
        <f aca="false">AM91/AI91-1</f>
        <v>0.107488962318467</v>
      </c>
      <c r="AN96" s="66" t="n">
        <f aca="false">AN91/AJ91-1</f>
        <v>0.0996313948582095</v>
      </c>
      <c r="AO96" s="66" t="n">
        <f aca="false">AO91/AK91-1</f>
        <v>0.0907298945406438</v>
      </c>
    </row>
    <row r="98" customFormat="false" ht="15" hidden="false" customHeight="false" outlineLevel="0" collapsed="false">
      <c r="C98" s="40" t="s">
        <v>548</v>
      </c>
      <c r="D98" s="58"/>
      <c r="E98" s="58" t="s">
        <v>549</v>
      </c>
      <c r="F98" s="41" t="n">
        <f aca="false">SUM(N98:Q98)</f>
        <v>1860</v>
      </c>
      <c r="G98" s="41" t="n">
        <f aca="false">SUM(R98:U98)</f>
        <v>2108</v>
      </c>
      <c r="H98" s="62" t="n">
        <f aca="false">SUM(V98:Y98)</f>
        <v>2181.8</v>
      </c>
      <c r="I98" s="62" t="n">
        <f aca="false">SUM(Z98:AC98)</f>
        <v>2290.89</v>
      </c>
      <c r="J98" s="62" t="n">
        <f aca="false">SUM(AD98:AG98)</f>
        <v>2405.4345</v>
      </c>
      <c r="K98" s="62" t="n">
        <f aca="false">SUM(AH98:AK98)</f>
        <v>2525.706225</v>
      </c>
      <c r="L98" s="62" t="n">
        <f aca="false">SUM(AL98:AO98)</f>
        <v>2651.99153625</v>
      </c>
      <c r="N98" s="41" t="n">
        <f aca="false">'GEV Quarterly'!B88-'GEV Quarterly'!B140</f>
        <v>382</v>
      </c>
      <c r="O98" s="41" t="n">
        <f aca="false">'GEV Quarterly'!C88-'GEV Quarterly'!C140</f>
        <v>465</v>
      </c>
      <c r="P98" s="41" t="n">
        <f aca="false">'GEV Quarterly'!D88-'GEV Quarterly'!D140</f>
        <v>438</v>
      </c>
      <c r="Q98" s="41" t="n">
        <f aca="false">'GEV Quarterly'!E88-'GEV Quarterly'!E140</f>
        <v>575</v>
      </c>
      <c r="R98" s="41" t="n">
        <f aca="false">'GEV Quarterly'!F88-'GEV Quarterly'!F140</f>
        <v>449</v>
      </c>
      <c r="S98" s="41" t="n">
        <f aca="false">'GEV Quarterly'!G88-'GEV Quarterly'!G140</f>
        <v>489</v>
      </c>
      <c r="T98" s="41" t="n">
        <f aca="false">'GEV Quarterly'!H88-'GEV Quarterly'!H140</f>
        <v>527</v>
      </c>
      <c r="U98" s="41" t="n">
        <f aca="false">'GEV Quarterly'!I88-'GEV Quarterly'!I140</f>
        <v>643</v>
      </c>
      <c r="V98" s="41" t="n">
        <f aca="false">'GEV Quarterly'!J88-'GEV Quarterly'!J191</f>
        <v>458</v>
      </c>
      <c r="W98" s="41" t="n">
        <f aca="false">'GEV Quarterly'!K88-'GEV Quarterly'!K191</f>
        <v>507</v>
      </c>
      <c r="X98" s="62" t="n">
        <f aca="false">T98*(1+'Key Drivers'!H73)</f>
        <v>548.08</v>
      </c>
      <c r="Y98" s="62" t="n">
        <f aca="false">U98*(1+'Key Drivers'!H73)</f>
        <v>668.72</v>
      </c>
      <c r="Z98" s="62" t="n">
        <f aca="false">V98*(1+'Key Drivers'!I73)</f>
        <v>480.9</v>
      </c>
      <c r="AA98" s="62" t="n">
        <f aca="false">W98*(1+'Key Drivers'!I73)</f>
        <v>532.35</v>
      </c>
      <c r="AB98" s="62" t="n">
        <f aca="false">X98*(1+'Key Drivers'!I73)</f>
        <v>575.484</v>
      </c>
      <c r="AC98" s="62" t="n">
        <f aca="false">Y98*(1+'Key Drivers'!I73)</f>
        <v>702.156</v>
      </c>
      <c r="AD98" s="62" t="n">
        <f aca="false">Z98*(1+'Key Drivers'!J73)</f>
        <v>504.945</v>
      </c>
      <c r="AE98" s="62" t="n">
        <f aca="false">AA98*(1+'Key Drivers'!J73)</f>
        <v>558.9675</v>
      </c>
      <c r="AF98" s="62" t="n">
        <f aca="false">AB98*(1+'Key Drivers'!J73)</f>
        <v>604.2582</v>
      </c>
      <c r="AG98" s="62" t="n">
        <f aca="false">AC98*(1+'Key Drivers'!J73)</f>
        <v>737.2638</v>
      </c>
      <c r="AH98" s="62" t="n">
        <f aca="false">AD98*(1+'Key Drivers'!K73)</f>
        <v>530.19225</v>
      </c>
      <c r="AI98" s="62" t="n">
        <f aca="false">AE98*(1+'Key Drivers'!K73)</f>
        <v>586.915875</v>
      </c>
      <c r="AJ98" s="62" t="n">
        <f aca="false">AF98*(1+'Key Drivers'!K73)</f>
        <v>634.47111</v>
      </c>
      <c r="AK98" s="62" t="n">
        <f aca="false">AG98*(1+'Key Drivers'!K73)</f>
        <v>774.12699</v>
      </c>
      <c r="AL98" s="62" t="n">
        <f aca="false">AH98*(1+'Key Drivers'!L73)</f>
        <v>556.7018625</v>
      </c>
      <c r="AM98" s="62" t="n">
        <f aca="false">AI98*(1+'Key Drivers'!L73)</f>
        <v>616.26166875</v>
      </c>
      <c r="AN98" s="62" t="n">
        <f aca="false">AJ98*(1+'Key Drivers'!L73)</f>
        <v>666.1946655</v>
      </c>
      <c r="AO98" s="62" t="n">
        <f aca="false">AK98*(1+'Key Drivers'!L73)</f>
        <v>812.8333395</v>
      </c>
    </row>
    <row r="99" customFormat="false" ht="15" hidden="false" customHeight="false" outlineLevel="0" collapsed="false">
      <c r="C99" s="46" t="s">
        <v>455</v>
      </c>
      <c r="D99" s="58"/>
      <c r="E99" s="58"/>
      <c r="F99" s="40"/>
      <c r="G99" s="65" t="n">
        <f aca="false">G98/F98-1</f>
        <v>0.133333333333333</v>
      </c>
      <c r="H99" s="66" t="n">
        <f aca="false">H98/G98-1</f>
        <v>0.0350094876660343</v>
      </c>
      <c r="I99" s="66" t="n">
        <f aca="false">I98/H98-1</f>
        <v>0.05</v>
      </c>
      <c r="J99" s="66" t="n">
        <f aca="false">J98/I98-1</f>
        <v>0.05</v>
      </c>
      <c r="K99" s="66" t="n">
        <f aca="false">K98/J98-1</f>
        <v>0.05</v>
      </c>
      <c r="L99" s="66" t="n">
        <f aca="false">L98/K98-1</f>
        <v>0.05</v>
      </c>
      <c r="N99" s="40"/>
      <c r="O99" s="40"/>
      <c r="P99" s="40"/>
      <c r="Q99" s="40"/>
      <c r="R99" s="65" t="n">
        <f aca="false">R98/N98-1</f>
        <v>0.175392670157068</v>
      </c>
      <c r="S99" s="65" t="n">
        <f aca="false">S98/O98-1</f>
        <v>0.0516129032258064</v>
      </c>
      <c r="T99" s="65" t="n">
        <f aca="false">T98/P98-1</f>
        <v>0.203196347031964</v>
      </c>
      <c r="U99" s="65" t="n">
        <f aca="false">U98/Q98-1</f>
        <v>0.118260869565217</v>
      </c>
      <c r="V99" s="65" t="n">
        <f aca="false">V98/R98-1</f>
        <v>0.0200445434298442</v>
      </c>
      <c r="W99" s="65" t="n">
        <f aca="false">W98/S98-1</f>
        <v>0.0368098159509203</v>
      </c>
      <c r="X99" s="66" t="n">
        <f aca="false">X98/T98-1</f>
        <v>0.04</v>
      </c>
      <c r="Y99" s="66" t="n">
        <f aca="false">Y98/U98-1</f>
        <v>0.04</v>
      </c>
      <c r="Z99" s="66" t="n">
        <f aca="false">Z98/V98-1</f>
        <v>0.05</v>
      </c>
      <c r="AA99" s="66" t="n">
        <f aca="false">AA98/W98-1</f>
        <v>0.05</v>
      </c>
      <c r="AB99" s="66" t="n">
        <f aca="false">AB98/X98-1</f>
        <v>0.05</v>
      </c>
      <c r="AC99" s="66" t="n">
        <f aca="false">AC98/Y98-1</f>
        <v>0.05</v>
      </c>
      <c r="AD99" s="66" t="n">
        <f aca="false">AD98/Z98-1</f>
        <v>0.05</v>
      </c>
      <c r="AE99" s="66" t="n">
        <f aca="false">AE98/AA98-1</f>
        <v>0.05</v>
      </c>
      <c r="AF99" s="66" t="n">
        <f aca="false">AF98/AB98-1</f>
        <v>0.05</v>
      </c>
      <c r="AG99" s="66" t="n">
        <f aca="false">AG98/AC98-1</f>
        <v>0.05</v>
      </c>
      <c r="AH99" s="66" t="n">
        <f aca="false">AH98/AD98-1</f>
        <v>0.05</v>
      </c>
      <c r="AI99" s="66" t="n">
        <f aca="false">AI98/AE98-1</f>
        <v>0.05</v>
      </c>
      <c r="AJ99" s="66" t="n">
        <f aca="false">AJ98/AF98-1</f>
        <v>0.05</v>
      </c>
      <c r="AK99" s="66" t="n">
        <f aca="false">AK98/AG98-1</f>
        <v>0.05</v>
      </c>
      <c r="AL99" s="66" t="n">
        <f aca="false">AL98/AH98-1</f>
        <v>0.05</v>
      </c>
      <c r="AM99" s="66" t="n">
        <f aca="false">AM98/AI98-1</f>
        <v>0.05</v>
      </c>
      <c r="AN99" s="66" t="n">
        <f aca="false">AN98/AJ98-1</f>
        <v>0.05</v>
      </c>
      <c r="AO99" s="66" t="n">
        <f aca="false">AO98/AK98-1</f>
        <v>0.05</v>
      </c>
    </row>
    <row r="101" customFormat="false" ht="15" hidden="false" customHeight="false" outlineLevel="0" collapsed="false">
      <c r="C101" s="61" t="s">
        <v>550</v>
      </c>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row>
    <row r="102" customFormat="false" ht="15" hidden="false" customHeight="false" outlineLevel="0" collapsed="false">
      <c r="C102" s="40" t="s">
        <v>551</v>
      </c>
      <c r="D102" s="58" t="s">
        <v>480</v>
      </c>
      <c r="E102" s="58" t="s">
        <v>552</v>
      </c>
      <c r="F102" s="78" t="n">
        <f aca="false">SUM(N102:Q102)</f>
        <v>7.8</v>
      </c>
      <c r="G102" s="78" t="n">
        <f aca="false">SUM(R102:U102)</f>
        <v>6.9</v>
      </c>
      <c r="H102" s="77" t="n">
        <f aca="false">SUM(V102:Y102)</f>
        <v>5</v>
      </c>
      <c r="I102" s="77" t="n">
        <f aca="false">SUM(Z102:AC102)</f>
        <v>3.9</v>
      </c>
      <c r="J102" s="77" t="n">
        <f aca="false">SUM(AD102:AG102)</f>
        <v>3.4</v>
      </c>
      <c r="K102" s="77" t="n">
        <f aca="false">SUM(AH102:AK102)</f>
        <v>3.2</v>
      </c>
      <c r="L102" s="77" t="n">
        <f aca="false">SUM(AL102:AO102)</f>
        <v>3.2</v>
      </c>
      <c r="N102" s="78" t="n">
        <f aca="false">'GEV Quarterly'!B271</f>
        <v>1.1</v>
      </c>
      <c r="O102" s="78" t="n">
        <f aca="false">'GEV Quarterly'!C271</f>
        <v>1.6</v>
      </c>
      <c r="P102" s="78" t="n">
        <f aca="false">'GEV Quarterly'!D271</f>
        <v>2.4</v>
      </c>
      <c r="Q102" s="78" t="n">
        <f aca="false">'GEV Quarterly'!E271</f>
        <v>2.7</v>
      </c>
      <c r="R102" s="78" t="n">
        <f aca="false">'GEV Quarterly'!F271</f>
        <v>1.3</v>
      </c>
      <c r="S102" s="78" t="n">
        <f aca="false">'GEV Quarterly'!G271</f>
        <v>1.7</v>
      </c>
      <c r="T102" s="78" t="n">
        <f aca="false">'GEV Quarterly'!H271</f>
        <v>2.1</v>
      </c>
      <c r="U102" s="78" t="n">
        <f aca="false">'GEV Quarterly'!I271</f>
        <v>1.8</v>
      </c>
      <c r="V102" s="78" t="n">
        <f aca="false">'GEV Quarterly'!J271</f>
        <v>0.6</v>
      </c>
      <c r="W102" s="78" t="n">
        <f aca="false">'GEV Quarterly'!K271</f>
        <v>1.4</v>
      </c>
      <c r="X102" s="77" t="n">
        <f aca="false">('Key Drivers'!H79-SUM(V102:W102))*'Key Drivers'!$H$101/('Key Drivers'!$H$101+'Key Drivers'!$I$101)</f>
        <v>1.55172413793103</v>
      </c>
      <c r="Y102" s="77" t="n">
        <f aca="false">('Key Drivers'!H79-SUM(V102:W102))*'Key Drivers'!$I$101/('Key Drivers'!$H$101+'Key Drivers'!$I$101)</f>
        <v>1.44827586206897</v>
      </c>
      <c r="Z102" s="77" t="n">
        <f aca="false">'Key Drivers'!I79*'Key Drivers'!$F$101</f>
        <v>0.702</v>
      </c>
      <c r="AA102" s="77" t="n">
        <f aca="false">'Key Drivers'!I79*'Key Drivers'!$G$101</f>
        <v>0.936</v>
      </c>
      <c r="AB102" s="77" t="n">
        <f aca="false">'Key Drivers'!I79*'Key Drivers'!$H$101</f>
        <v>1.17</v>
      </c>
      <c r="AC102" s="77" t="n">
        <f aca="false">'Key Drivers'!I79*'Key Drivers'!$I$101</f>
        <v>1.092</v>
      </c>
      <c r="AD102" s="77" t="n">
        <f aca="false">'Key Drivers'!J79*'Key Drivers'!$F$101</f>
        <v>0.612</v>
      </c>
      <c r="AE102" s="77" t="n">
        <f aca="false">'Key Drivers'!J79*'Key Drivers'!$G$101</f>
        <v>0.816</v>
      </c>
      <c r="AF102" s="77" t="n">
        <f aca="false">'Key Drivers'!J79*'Key Drivers'!$H$101</f>
        <v>1.02</v>
      </c>
      <c r="AG102" s="77" t="n">
        <f aca="false">'Key Drivers'!J79*'Key Drivers'!$I$101</f>
        <v>0.952</v>
      </c>
      <c r="AH102" s="77" t="n">
        <f aca="false">'Key Drivers'!K79*'Key Drivers'!$F$101</f>
        <v>0.576</v>
      </c>
      <c r="AI102" s="77" t="n">
        <f aca="false">'Key Drivers'!K79*'Key Drivers'!$G$101</f>
        <v>0.768</v>
      </c>
      <c r="AJ102" s="77" t="n">
        <f aca="false">'Key Drivers'!K79*'Key Drivers'!$H$101</f>
        <v>0.96</v>
      </c>
      <c r="AK102" s="77" t="n">
        <f aca="false">'Key Drivers'!K79*'Key Drivers'!$I$101</f>
        <v>0.896</v>
      </c>
      <c r="AL102" s="77" t="n">
        <f aca="false">'Key Drivers'!L79*'Key Drivers'!$F$101</f>
        <v>0.576</v>
      </c>
      <c r="AM102" s="77" t="n">
        <f aca="false">'Key Drivers'!L79*'Key Drivers'!$G$101</f>
        <v>0.768</v>
      </c>
      <c r="AN102" s="77" t="n">
        <f aca="false">'Key Drivers'!L79*'Key Drivers'!$H$101</f>
        <v>0.96</v>
      </c>
      <c r="AO102" s="77" t="n">
        <f aca="false">'Key Drivers'!L79*'Key Drivers'!$I$101</f>
        <v>0.896</v>
      </c>
    </row>
    <row r="103" customFormat="false" ht="15" hidden="false" customHeight="false" outlineLevel="0" collapsed="false">
      <c r="C103" s="46" t="s">
        <v>553</v>
      </c>
      <c r="D103" s="58" t="s">
        <v>512</v>
      </c>
      <c r="E103" s="58" t="s">
        <v>554</v>
      </c>
      <c r="F103" s="40"/>
      <c r="G103" s="51" t="n">
        <f aca="false">G104</f>
        <v>1050.86956521739</v>
      </c>
      <c r="H103" s="67" t="n">
        <f aca="false">G103*(1+'Key Drivers'!H84)</f>
        <v>1119.17608695652</v>
      </c>
      <c r="I103" s="67" t="n">
        <f aca="false">H103*(1+'Key Drivers'!I84)</f>
        <v>1130.36784782609</v>
      </c>
      <c r="J103" s="67" t="n">
        <f aca="false">I103*(1+'Key Drivers'!J84)</f>
        <v>1141.67152630435</v>
      </c>
      <c r="K103" s="67" t="n">
        <f aca="false">J103*(1+'Key Drivers'!K84)</f>
        <v>1153.08824156739</v>
      </c>
      <c r="L103" s="67" t="n">
        <f aca="false">K103*(1+'Key Drivers'!L84)</f>
        <v>1164.61912398307</v>
      </c>
      <c r="N103" s="40"/>
      <c r="O103" s="40"/>
      <c r="P103" s="40"/>
      <c r="Q103" s="40"/>
      <c r="R103" s="40"/>
      <c r="S103" s="40"/>
      <c r="T103" s="40"/>
      <c r="U103" s="40"/>
      <c r="V103" s="40"/>
      <c r="W103" s="40"/>
      <c r="X103" s="68"/>
      <c r="Y103" s="68"/>
      <c r="Z103" s="68"/>
      <c r="AA103" s="68"/>
      <c r="AB103" s="68"/>
      <c r="AC103" s="68"/>
      <c r="AD103" s="68"/>
      <c r="AE103" s="68"/>
      <c r="AF103" s="68"/>
      <c r="AG103" s="68"/>
      <c r="AH103" s="68"/>
      <c r="AI103" s="68"/>
      <c r="AJ103" s="68"/>
      <c r="AK103" s="68"/>
      <c r="AL103" s="68"/>
      <c r="AM103" s="68"/>
      <c r="AN103" s="68"/>
      <c r="AO103" s="68"/>
    </row>
    <row r="104" customFormat="false" ht="15" hidden="false" customHeight="false" outlineLevel="0" collapsed="false">
      <c r="C104" s="40" t="s">
        <v>555</v>
      </c>
      <c r="D104" s="58" t="s">
        <v>512</v>
      </c>
      <c r="E104" s="58"/>
      <c r="F104" s="41" t="n">
        <f aca="false">F105/F102</f>
        <v>1031.66666666667</v>
      </c>
      <c r="G104" s="41" t="n">
        <f aca="false">G105/G102</f>
        <v>1050.86956521739</v>
      </c>
      <c r="H104" s="62" t="n">
        <f aca="false">H105/H102</f>
        <v>1128.30565217391</v>
      </c>
      <c r="I104" s="62" t="n">
        <f aca="false">I105/I102</f>
        <v>1130.36784782609</v>
      </c>
      <c r="J104" s="62" t="n">
        <f aca="false">J105/J102</f>
        <v>1141.67152630435</v>
      </c>
      <c r="K104" s="62" t="n">
        <f aca="false">K105/K102</f>
        <v>1153.08824156739</v>
      </c>
      <c r="L104" s="62" t="n">
        <f aca="false">L105/L102</f>
        <v>1164.61912398307</v>
      </c>
      <c r="N104" s="41" t="n">
        <f aca="false">N105/N102</f>
        <v>1120</v>
      </c>
      <c r="O104" s="41" t="n">
        <f aca="false">O105/O102</f>
        <v>1042.5</v>
      </c>
      <c r="P104" s="41" t="n">
        <f aca="false">P105/P102</f>
        <v>1039.16666666667</v>
      </c>
      <c r="Q104" s="41" t="n">
        <f aca="false">Q105/Q102</f>
        <v>982.592592592593</v>
      </c>
      <c r="R104" s="41" t="n">
        <f aca="false">R105/R102</f>
        <v>1086.15384615385</v>
      </c>
      <c r="S104" s="41" t="n">
        <f aca="false">S105/S102</f>
        <v>1057.05882352941</v>
      </c>
      <c r="T104" s="41" t="n">
        <f aca="false">T105/T102</f>
        <v>1049.04761904762</v>
      </c>
      <c r="U104" s="41" t="n">
        <f aca="false">U105/U102</f>
        <v>1021.66666666667</v>
      </c>
      <c r="V104" s="41" t="n">
        <f aca="false">V105/V102</f>
        <v>1481.66666666667</v>
      </c>
      <c r="W104" s="41" t="n">
        <f aca="false">W105/W102</f>
        <v>996.428571428571</v>
      </c>
      <c r="X104" s="62" t="n">
        <f aca="false">H103</f>
        <v>1119.17608695652</v>
      </c>
      <c r="Y104" s="62" t="n">
        <f aca="false">H103</f>
        <v>1119.17608695652</v>
      </c>
      <c r="Z104" s="62" t="n">
        <f aca="false">I103</f>
        <v>1130.36784782609</v>
      </c>
      <c r="AA104" s="62" t="n">
        <f aca="false">I103</f>
        <v>1130.36784782609</v>
      </c>
      <c r="AB104" s="62" t="n">
        <f aca="false">I103</f>
        <v>1130.36784782609</v>
      </c>
      <c r="AC104" s="62" t="n">
        <f aca="false">I103</f>
        <v>1130.36784782609</v>
      </c>
      <c r="AD104" s="62" t="n">
        <f aca="false">J103</f>
        <v>1141.67152630435</v>
      </c>
      <c r="AE104" s="62" t="n">
        <f aca="false">J103</f>
        <v>1141.67152630435</v>
      </c>
      <c r="AF104" s="62" t="n">
        <f aca="false">J103</f>
        <v>1141.67152630435</v>
      </c>
      <c r="AG104" s="62" t="n">
        <f aca="false">J103</f>
        <v>1141.67152630435</v>
      </c>
      <c r="AH104" s="62" t="n">
        <f aca="false">K103</f>
        <v>1153.08824156739</v>
      </c>
      <c r="AI104" s="62" t="n">
        <f aca="false">K103</f>
        <v>1153.08824156739</v>
      </c>
      <c r="AJ104" s="62" t="n">
        <f aca="false">K103</f>
        <v>1153.08824156739</v>
      </c>
      <c r="AK104" s="62" t="n">
        <f aca="false">K103</f>
        <v>1153.08824156739</v>
      </c>
      <c r="AL104" s="62" t="n">
        <f aca="false">L103</f>
        <v>1164.61912398307</v>
      </c>
      <c r="AM104" s="62" t="n">
        <f aca="false">L103</f>
        <v>1164.61912398307</v>
      </c>
      <c r="AN104" s="62" t="n">
        <f aca="false">L103</f>
        <v>1164.61912398307</v>
      </c>
      <c r="AO104" s="62" t="n">
        <f aca="false">L103</f>
        <v>1164.61912398307</v>
      </c>
    </row>
    <row r="105" customFormat="false" ht="15" hidden="false" customHeight="false" outlineLevel="0" collapsed="false">
      <c r="C105" s="42" t="s">
        <v>556</v>
      </c>
      <c r="D105" s="63"/>
      <c r="E105" s="63"/>
      <c r="F105" s="43" t="n">
        <f aca="false">SUM(N105:Q105)</f>
        <v>8047</v>
      </c>
      <c r="G105" s="43" t="n">
        <f aca="false">SUM(R105:U105)</f>
        <v>7251</v>
      </c>
      <c r="H105" s="64" t="n">
        <f aca="false">SUM(V105:Y105)</f>
        <v>5641.52826086957</v>
      </c>
      <c r="I105" s="64" t="n">
        <f aca="false">SUM(Z105:AC105)</f>
        <v>4408.43460652174</v>
      </c>
      <c r="J105" s="64" t="n">
        <f aca="false">SUM(AD105:AG105)</f>
        <v>3881.68318943478</v>
      </c>
      <c r="K105" s="64" t="n">
        <f aca="false">SUM(AH105:AK105)</f>
        <v>3689.88237301565</v>
      </c>
      <c r="L105" s="64" t="n">
        <f aca="false">SUM(AL105:AO105)</f>
        <v>3726.78119674581</v>
      </c>
      <c r="N105" s="43" t="n">
        <f aca="false">'GEV Quarterly'!B149</f>
        <v>1232</v>
      </c>
      <c r="O105" s="43" t="n">
        <f aca="false">'GEV Quarterly'!C149</f>
        <v>1668</v>
      </c>
      <c r="P105" s="43" t="n">
        <f aca="false">'GEV Quarterly'!D149</f>
        <v>2494</v>
      </c>
      <c r="Q105" s="43" t="n">
        <f aca="false">'GEV Quarterly'!E149</f>
        <v>2653</v>
      </c>
      <c r="R105" s="43" t="n">
        <f aca="false">'GEV Quarterly'!F149</f>
        <v>1412</v>
      </c>
      <c r="S105" s="43" t="n">
        <f aca="false">'GEV Quarterly'!G149</f>
        <v>1797</v>
      </c>
      <c r="T105" s="43" t="n">
        <f aca="false">'GEV Quarterly'!H149</f>
        <v>2203</v>
      </c>
      <c r="U105" s="43" t="n">
        <f aca="false">'GEV Quarterly'!I149</f>
        <v>1839</v>
      </c>
      <c r="V105" s="43" t="n">
        <f aca="false">'GEV Quarterly'!J201</f>
        <v>889</v>
      </c>
      <c r="W105" s="43" t="n">
        <f aca="false">'GEV Quarterly'!K201</f>
        <v>1395</v>
      </c>
      <c r="X105" s="64" t="n">
        <f aca="false">X102*X104</f>
        <v>1736.65254872564</v>
      </c>
      <c r="Y105" s="64" t="n">
        <f aca="false">Y102*Y104</f>
        <v>1620.87571214393</v>
      </c>
      <c r="Z105" s="64" t="n">
        <f aca="false">Z102*Z104</f>
        <v>793.518229173913</v>
      </c>
      <c r="AA105" s="64" t="n">
        <f aca="false">AA102*AA104</f>
        <v>1058.02430556522</v>
      </c>
      <c r="AB105" s="64" t="n">
        <f aca="false">AB102*AB104</f>
        <v>1322.53038195652</v>
      </c>
      <c r="AC105" s="64" t="n">
        <f aca="false">AC102*AC104</f>
        <v>1234.36168982609</v>
      </c>
      <c r="AD105" s="64" t="n">
        <f aca="false">AD102*AD104</f>
        <v>698.702974098261</v>
      </c>
      <c r="AE105" s="64" t="n">
        <f aca="false">AE102*AE104</f>
        <v>931.603965464348</v>
      </c>
      <c r="AF105" s="64" t="n">
        <f aca="false">AF102*AF104</f>
        <v>1164.50495683043</v>
      </c>
      <c r="AG105" s="64" t="n">
        <f aca="false">AG102*AG104</f>
        <v>1086.87129304174</v>
      </c>
      <c r="AH105" s="64" t="n">
        <f aca="false">AH102*AH104</f>
        <v>664.178827142817</v>
      </c>
      <c r="AI105" s="64" t="n">
        <f aca="false">AI102*AI104</f>
        <v>885.571769523757</v>
      </c>
      <c r="AJ105" s="64" t="n">
        <f aca="false">AJ102*AJ104</f>
        <v>1106.9647119047</v>
      </c>
      <c r="AK105" s="64" t="n">
        <f aca="false">AK102*AK104</f>
        <v>1033.16706444438</v>
      </c>
      <c r="AL105" s="64" t="n">
        <f aca="false">AL102*AL104</f>
        <v>670.820615414246</v>
      </c>
      <c r="AM105" s="64" t="n">
        <f aca="false">AM102*AM104</f>
        <v>894.427487218994</v>
      </c>
      <c r="AN105" s="64" t="n">
        <f aca="false">AN102*AN104</f>
        <v>1118.03435902374</v>
      </c>
      <c r="AO105" s="64" t="n">
        <f aca="false">AO102*AO104</f>
        <v>1043.49873508883</v>
      </c>
    </row>
    <row r="106" customFormat="false" ht="15" hidden="false" customHeight="false" outlineLevel="0" collapsed="false">
      <c r="C106" s="46" t="s">
        <v>455</v>
      </c>
      <c r="D106" s="58"/>
      <c r="E106" s="58"/>
      <c r="F106" s="40"/>
      <c r="G106" s="65" t="n">
        <f aca="false">G105/F105-1</f>
        <v>-0.0989188517459922</v>
      </c>
      <c r="H106" s="66" t="n">
        <f aca="false">H105/G105-1</f>
        <v>-0.221965486019919</v>
      </c>
      <c r="I106" s="66" t="n">
        <f aca="false">I105/H105-1</f>
        <v>-0.218574399937112</v>
      </c>
      <c r="J106" s="66" t="n">
        <f aca="false">J105/I105-1</f>
        <v>-0.119487179487179</v>
      </c>
      <c r="K106" s="66" t="n">
        <f aca="false">K105/J105-1</f>
        <v>-0.0494117647058824</v>
      </c>
      <c r="L106" s="66" t="n">
        <f aca="false">L105/K105-1</f>
        <v>0.01</v>
      </c>
      <c r="N106" s="40"/>
      <c r="O106" s="40"/>
      <c r="P106" s="40"/>
      <c r="Q106" s="40"/>
      <c r="R106" s="65" t="n">
        <f aca="false">R105/N105-1</f>
        <v>0.146103896103896</v>
      </c>
      <c r="S106" s="65" t="n">
        <f aca="false">S105/O105-1</f>
        <v>0.0773381294964028</v>
      </c>
      <c r="T106" s="65" t="n">
        <f aca="false">T105/P105-1</f>
        <v>-0.116680032076985</v>
      </c>
      <c r="U106" s="65" t="n">
        <f aca="false">U105/Q105-1</f>
        <v>-0.306822465133811</v>
      </c>
      <c r="V106" s="65" t="n">
        <f aca="false">V105/R105-1</f>
        <v>-0.370396600566572</v>
      </c>
      <c r="W106" s="65" t="n">
        <f aca="false">W105/S105-1</f>
        <v>-0.223706176961603</v>
      </c>
      <c r="X106" s="66" t="n">
        <f aca="false">X105/T105-1</f>
        <v>-0.21168744951174</v>
      </c>
      <c r="Y106" s="66" t="n">
        <f aca="false">Y105/U105-1</f>
        <v>-0.118610270721083</v>
      </c>
      <c r="Z106" s="66" t="n">
        <f aca="false">Z105/V105-1</f>
        <v>-0.107403566733506</v>
      </c>
      <c r="AA106" s="66" t="n">
        <f aca="false">AA105/W105-1</f>
        <v>-0.241559637587658</v>
      </c>
      <c r="AB106" s="66" t="n">
        <f aca="false">AB105/X105-1</f>
        <v>-0.23846</v>
      </c>
      <c r="AC106" s="66" t="n">
        <f aca="false">AC105/Y105-1</f>
        <v>-0.23846</v>
      </c>
      <c r="AD106" s="66" t="n">
        <f aca="false">AD105/Z105-1</f>
        <v>-0.119487179487179</v>
      </c>
      <c r="AE106" s="66" t="n">
        <f aca="false">AE105/AA105-1</f>
        <v>-0.119487179487179</v>
      </c>
      <c r="AF106" s="66" t="n">
        <f aca="false">AF105/AB105-1</f>
        <v>-0.119487179487179</v>
      </c>
      <c r="AG106" s="66" t="n">
        <f aca="false">AG105/AC105-1</f>
        <v>-0.119487179487179</v>
      </c>
      <c r="AH106" s="66" t="n">
        <f aca="false">AH105/AD105-1</f>
        <v>-0.0494117647058825</v>
      </c>
      <c r="AI106" s="66" t="n">
        <f aca="false">AI105/AE105-1</f>
        <v>-0.0494117647058823</v>
      </c>
      <c r="AJ106" s="66" t="n">
        <f aca="false">AJ105/AF105-1</f>
        <v>-0.0494117647058824</v>
      </c>
      <c r="AK106" s="66" t="n">
        <f aca="false">AK105/AG105-1</f>
        <v>-0.0494117647058825</v>
      </c>
      <c r="AL106" s="66" t="n">
        <f aca="false">AL105/AH105-1</f>
        <v>0.0100000000000002</v>
      </c>
      <c r="AM106" s="66" t="n">
        <f aca="false">AM105/AI105-1</f>
        <v>0.00999999999999979</v>
      </c>
      <c r="AN106" s="66" t="n">
        <f aca="false">AN105/AJ105-1</f>
        <v>0.01</v>
      </c>
      <c r="AO106" s="66" t="n">
        <f aca="false">AO105/AK105-1</f>
        <v>0.01</v>
      </c>
    </row>
    <row r="107" customFormat="false" ht="15" hidden="false" customHeight="false" outlineLevel="0" collapsed="false">
      <c r="C107" s="40" t="s">
        <v>557</v>
      </c>
      <c r="D107" s="58"/>
      <c r="E107" s="58"/>
      <c r="F107" s="41" t="n">
        <f aca="false">SUM(N107:Q107)</f>
        <v>1654</v>
      </c>
      <c r="G107" s="41" t="n">
        <f aca="false">SUM(R107:U107)</f>
        <v>1859</v>
      </c>
      <c r="H107" s="62" t="n">
        <f aca="false">SUM(V107:Y107)</f>
        <v>2390.25</v>
      </c>
      <c r="I107" s="62" t="n">
        <f aca="false">SUM(Z107:AC107)</f>
        <v>2485.86</v>
      </c>
      <c r="J107" s="62" t="n">
        <f aca="false">SUM(AD107:AG107)</f>
        <v>2560.4358</v>
      </c>
      <c r="K107" s="62" t="n">
        <f aca="false">SUM(AH107:AK107)</f>
        <v>2637.248874</v>
      </c>
      <c r="L107" s="62" t="n">
        <f aca="false">SUM(AL107:AO107)</f>
        <v>2716.36634022</v>
      </c>
      <c r="N107" s="41" t="n">
        <f aca="false">'GEV Quarterly'!B89-'GEV Quarterly'!B149</f>
        <v>407</v>
      </c>
      <c r="O107" s="41" t="n">
        <f aca="false">'GEV Quarterly'!C89-'GEV Quarterly'!C149</f>
        <v>394</v>
      </c>
      <c r="P107" s="41" t="n">
        <f aca="false">'GEV Quarterly'!D89-'GEV Quarterly'!D149</f>
        <v>397</v>
      </c>
      <c r="Q107" s="41" t="n">
        <f aca="false">'GEV Quarterly'!E89-'GEV Quarterly'!E149</f>
        <v>456</v>
      </c>
      <c r="R107" s="41" t="n">
        <f aca="false">'GEV Quarterly'!F89-'GEV Quarterly'!F149</f>
        <v>438</v>
      </c>
      <c r="S107" s="41" t="n">
        <f aca="false">'GEV Quarterly'!G89-'GEV Quarterly'!G149</f>
        <v>448</v>
      </c>
      <c r="T107" s="41" t="n">
        <f aca="false">'GEV Quarterly'!H89-'GEV Quarterly'!H149</f>
        <v>444</v>
      </c>
      <c r="U107" s="41" t="n">
        <f aca="false">'GEV Quarterly'!I89-'GEV Quarterly'!I149</f>
        <v>529</v>
      </c>
      <c r="V107" s="41" t="n">
        <f aca="false">'GEV Quarterly'!J89-'GEV Quarterly'!J201</f>
        <v>543</v>
      </c>
      <c r="W107" s="41" t="n">
        <f aca="false">'GEV Quarterly'!K89-'GEV Quarterly'!K201</f>
        <v>631</v>
      </c>
      <c r="X107" s="62" t="n">
        <f aca="false">T107*(1+'Key Drivers'!H89)</f>
        <v>555</v>
      </c>
      <c r="Y107" s="62" t="n">
        <f aca="false">U107*(1+'Key Drivers'!H89)</f>
        <v>661.25</v>
      </c>
      <c r="Z107" s="62" t="n">
        <f aca="false">V107*(1+'Key Drivers'!I89)</f>
        <v>564.72</v>
      </c>
      <c r="AA107" s="62" t="n">
        <f aca="false">W107*(1+'Key Drivers'!I89)</f>
        <v>656.24</v>
      </c>
      <c r="AB107" s="62" t="n">
        <f aca="false">X107*(1+'Key Drivers'!I89)</f>
        <v>577.2</v>
      </c>
      <c r="AC107" s="62" t="n">
        <f aca="false">Y107*(1+'Key Drivers'!I89)</f>
        <v>687.7</v>
      </c>
      <c r="AD107" s="62" t="n">
        <f aca="false">Z107*(1+'Key Drivers'!J89)</f>
        <v>581.6616</v>
      </c>
      <c r="AE107" s="62" t="n">
        <f aca="false">AA107*(1+'Key Drivers'!J89)</f>
        <v>675.9272</v>
      </c>
      <c r="AF107" s="62" t="n">
        <f aca="false">AB107*(1+'Key Drivers'!J89)</f>
        <v>594.516</v>
      </c>
      <c r="AG107" s="62" t="n">
        <f aca="false">AC107*(1+'Key Drivers'!J89)</f>
        <v>708.331</v>
      </c>
      <c r="AH107" s="62" t="n">
        <f aca="false">AD107*(1+'Key Drivers'!K89)</f>
        <v>599.111448</v>
      </c>
      <c r="AI107" s="62" t="n">
        <f aca="false">AE107*(1+'Key Drivers'!K89)</f>
        <v>696.205016</v>
      </c>
      <c r="AJ107" s="62" t="n">
        <f aca="false">AF107*(1+'Key Drivers'!K89)</f>
        <v>612.35148</v>
      </c>
      <c r="AK107" s="62" t="n">
        <f aca="false">AG107*(1+'Key Drivers'!K89)</f>
        <v>729.58093</v>
      </c>
      <c r="AL107" s="62" t="n">
        <f aca="false">AH107*(1+'Key Drivers'!L89)</f>
        <v>617.08479144</v>
      </c>
      <c r="AM107" s="62" t="n">
        <f aca="false">AI107*(1+'Key Drivers'!L89)</f>
        <v>717.09116648</v>
      </c>
      <c r="AN107" s="62" t="n">
        <f aca="false">AJ107*(1+'Key Drivers'!L89)</f>
        <v>630.7220244</v>
      </c>
      <c r="AO107" s="62" t="n">
        <f aca="false">AK107*(1+'Key Drivers'!L89)</f>
        <v>751.4683579</v>
      </c>
    </row>
    <row r="108" customFormat="false" ht="15" hidden="false" customHeight="false" outlineLevel="0" collapsed="false">
      <c r="C108" s="46" t="s">
        <v>455</v>
      </c>
      <c r="D108" s="58"/>
      <c r="E108" s="58"/>
      <c r="F108" s="40"/>
      <c r="G108" s="65" t="n">
        <f aca="false">G107/F107-1</f>
        <v>0.123941958887545</v>
      </c>
      <c r="H108" s="66" t="n">
        <f aca="false">H107/G107-1</f>
        <v>0.285771920387305</v>
      </c>
      <c r="I108" s="66" t="n">
        <f aca="false">I107/H107-1</f>
        <v>0.04</v>
      </c>
      <c r="J108" s="66" t="n">
        <f aca="false">J107/I107-1</f>
        <v>0.03</v>
      </c>
      <c r="K108" s="66" t="n">
        <f aca="false">K107/J107-1</f>
        <v>0.0299999999999998</v>
      </c>
      <c r="L108" s="66" t="n">
        <f aca="false">L107/K107-1</f>
        <v>0.03</v>
      </c>
      <c r="N108" s="40"/>
      <c r="O108" s="40"/>
      <c r="P108" s="40"/>
      <c r="Q108" s="40"/>
      <c r="R108" s="65" t="n">
        <f aca="false">R107/N107-1</f>
        <v>0.0761670761670761</v>
      </c>
      <c r="S108" s="65" t="n">
        <f aca="false">S107/O107-1</f>
        <v>0.137055837563452</v>
      </c>
      <c r="T108" s="65" t="n">
        <f aca="false">T107/P107-1</f>
        <v>0.118387909319899</v>
      </c>
      <c r="U108" s="65" t="n">
        <f aca="false">U107/Q107-1</f>
        <v>0.160087719298246</v>
      </c>
      <c r="V108" s="65" t="n">
        <f aca="false">V107/R107-1</f>
        <v>0.23972602739726</v>
      </c>
      <c r="W108" s="65" t="n">
        <f aca="false">W107/S107-1</f>
        <v>0.408482142857143</v>
      </c>
      <c r="X108" s="66" t="n">
        <f aca="false">X107/T107-1</f>
        <v>0.25</v>
      </c>
      <c r="Y108" s="66" t="n">
        <f aca="false">Y107/U107-1</f>
        <v>0.25</v>
      </c>
      <c r="Z108" s="66" t="n">
        <f aca="false">Z107/V107-1</f>
        <v>0.04</v>
      </c>
      <c r="AA108" s="66" t="n">
        <f aca="false">AA107/W107-1</f>
        <v>0.04</v>
      </c>
      <c r="AB108" s="66" t="n">
        <f aca="false">AB107/X107-1</f>
        <v>0.04</v>
      </c>
      <c r="AC108" s="66" t="n">
        <f aca="false">AC107/Y107-1</f>
        <v>0.04</v>
      </c>
      <c r="AD108" s="66" t="n">
        <f aca="false">AD107/Z107-1</f>
        <v>0.03</v>
      </c>
      <c r="AE108" s="66" t="n">
        <f aca="false">AE107/AA107-1</f>
        <v>0.03</v>
      </c>
      <c r="AF108" s="66" t="n">
        <f aca="false">AF107/AB107-1</f>
        <v>0.03</v>
      </c>
      <c r="AG108" s="66" t="n">
        <f aca="false">AG107/AC107-1</f>
        <v>0.03</v>
      </c>
      <c r="AH108" s="66" t="n">
        <f aca="false">AH107/AD107-1</f>
        <v>0.03</v>
      </c>
      <c r="AI108" s="66" t="n">
        <f aca="false">AI107/AE107-1</f>
        <v>0.03</v>
      </c>
      <c r="AJ108" s="66" t="n">
        <f aca="false">AJ107/AF107-1</f>
        <v>0.03</v>
      </c>
      <c r="AK108" s="66" t="n">
        <f aca="false">AK107/AG107-1</f>
        <v>0.03</v>
      </c>
      <c r="AL108" s="66" t="n">
        <f aca="false">AL107/AH107-1</f>
        <v>0.03</v>
      </c>
      <c r="AM108" s="66" t="n">
        <f aca="false">AM107/AI107-1</f>
        <v>0.03</v>
      </c>
      <c r="AN108" s="66" t="n">
        <f aca="false">AN107/AJ107-1</f>
        <v>0.03</v>
      </c>
      <c r="AO108" s="66" t="n">
        <f aca="false">AO107/AK107-1</f>
        <v>0.03</v>
      </c>
    </row>
    <row r="110" customFormat="false" ht="15" hidden="false" customHeight="false" outlineLevel="0" collapsed="false">
      <c r="C110" s="61" t="s">
        <v>558</v>
      </c>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row>
    <row r="111" customFormat="false" ht="15" hidden="false" customHeight="false" outlineLevel="0" collapsed="false">
      <c r="C111" s="48" t="s">
        <v>559</v>
      </c>
      <c r="D111" s="58"/>
      <c r="E111" s="58"/>
    </row>
    <row r="112" customFormat="false" ht="15" hidden="false" customHeight="false" outlineLevel="0" collapsed="false">
      <c r="C112" s="48" t="s">
        <v>560</v>
      </c>
      <c r="D112" s="58"/>
      <c r="E112" s="58"/>
    </row>
    <row r="113" customFormat="false" ht="15" hidden="false" customHeight="false" outlineLevel="0" collapsed="false">
      <c r="C113" s="40" t="s">
        <v>561</v>
      </c>
      <c r="D113" s="58" t="s">
        <v>480</v>
      </c>
      <c r="E113" s="58"/>
      <c r="F113" s="40"/>
      <c r="G113" s="40"/>
      <c r="H113" s="77" t="n">
        <f aca="false">V113</f>
        <v>40</v>
      </c>
      <c r="I113" s="77" t="n">
        <f aca="false">Z113</f>
        <v>23.38</v>
      </c>
      <c r="J113" s="77" t="n">
        <f aca="false">AD113</f>
        <v>3.85</v>
      </c>
      <c r="K113" s="77" t="n">
        <f aca="false">AH113</f>
        <v>0</v>
      </c>
      <c r="L113" s="77" t="n">
        <f aca="false">AL113</f>
        <v>0</v>
      </c>
      <c r="N113" s="40"/>
      <c r="O113" s="40"/>
      <c r="P113" s="40"/>
      <c r="Q113" s="40"/>
      <c r="R113" s="40"/>
      <c r="S113" s="40"/>
      <c r="T113" s="40"/>
      <c r="U113" s="40"/>
      <c r="V113" s="78" t="n">
        <f aca="false">U58</f>
        <v>40</v>
      </c>
      <c r="W113" s="78" t="n">
        <f aca="false">V115</f>
        <v>35.8</v>
      </c>
      <c r="X113" s="77" t="n">
        <f aca="false">W115</f>
        <v>32.5</v>
      </c>
      <c r="Y113" s="77" t="n">
        <f aca="false">X115</f>
        <v>28.18</v>
      </c>
      <c r="Z113" s="77" t="n">
        <f aca="false">Y115</f>
        <v>23.38</v>
      </c>
      <c r="AA113" s="77" t="n">
        <f aca="false">Z115</f>
        <v>18.73</v>
      </c>
      <c r="AB113" s="77" t="n">
        <f aca="false">AA115</f>
        <v>13.894</v>
      </c>
      <c r="AC113" s="77" t="n">
        <f aca="false">AB115</f>
        <v>8.965</v>
      </c>
      <c r="AD113" s="77" t="n">
        <f aca="false">AC115</f>
        <v>3.85</v>
      </c>
      <c r="AE113" s="77" t="n">
        <f aca="false">AD115</f>
        <v>0</v>
      </c>
      <c r="AF113" s="77" t="n">
        <f aca="false">AE115</f>
        <v>0</v>
      </c>
      <c r="AG113" s="77" t="n">
        <f aca="false">AF115</f>
        <v>0</v>
      </c>
      <c r="AH113" s="77" t="n">
        <f aca="false">AG115</f>
        <v>0</v>
      </c>
      <c r="AI113" s="77" t="n">
        <f aca="false">AH115</f>
        <v>0</v>
      </c>
      <c r="AJ113" s="77" t="n">
        <f aca="false">AI115</f>
        <v>0</v>
      </c>
      <c r="AK113" s="77" t="n">
        <f aca="false">AJ115</f>
        <v>0</v>
      </c>
      <c r="AL113" s="77" t="n">
        <f aca="false">AK115</f>
        <v>0</v>
      </c>
      <c r="AM113" s="77" t="n">
        <f aca="false">AL115</f>
        <v>0</v>
      </c>
      <c r="AN113" s="77" t="n">
        <f aca="false">AM115</f>
        <v>0</v>
      </c>
      <c r="AO113" s="77" t="n">
        <f aca="false">AN115</f>
        <v>0</v>
      </c>
    </row>
    <row r="114" customFormat="false" ht="15" hidden="false" customHeight="false" outlineLevel="0" collapsed="false">
      <c r="C114" s="40" t="s">
        <v>562</v>
      </c>
      <c r="D114" s="58" t="s">
        <v>480</v>
      </c>
      <c r="E114" s="58"/>
      <c r="F114" s="40"/>
      <c r="G114" s="40"/>
      <c r="H114" s="77" t="n">
        <f aca="false">SUM(V114:Y114)</f>
        <v>16.62</v>
      </c>
      <c r="I114" s="77" t="n">
        <f aca="false">SUM(Z114:AC114)</f>
        <v>19.53</v>
      </c>
      <c r="J114" s="77" t="n">
        <f aca="false">SUM(AD114:AG114)</f>
        <v>3.85</v>
      </c>
      <c r="K114" s="77" t="n">
        <f aca="false">SUM(AH114:AK114)</f>
        <v>0</v>
      </c>
      <c r="L114" s="77" t="n">
        <f aca="false">SUM(AL114:AO114)</f>
        <v>0</v>
      </c>
      <c r="N114" s="40"/>
      <c r="O114" s="40"/>
      <c r="P114" s="40"/>
      <c r="Q114" s="40"/>
      <c r="R114" s="40"/>
      <c r="S114" s="40"/>
      <c r="T114" s="40"/>
      <c r="U114" s="40"/>
      <c r="V114" s="78" t="n">
        <f aca="false">MIN(V57,V113)</f>
        <v>4.2</v>
      </c>
      <c r="W114" s="78" t="n">
        <f aca="false">MIN(W57,W113)</f>
        <v>3.3</v>
      </c>
      <c r="X114" s="77" t="n">
        <f aca="false">MIN(X57,X113)</f>
        <v>4.32</v>
      </c>
      <c r="Y114" s="77" t="n">
        <f aca="false">MIN(Y57,Y113)</f>
        <v>4.8</v>
      </c>
      <c r="Z114" s="77" t="n">
        <f aca="false">MIN(Z57,Z113)</f>
        <v>4.65</v>
      </c>
      <c r="AA114" s="77" t="n">
        <f aca="false">MIN(AA57,AA113)</f>
        <v>4.836</v>
      </c>
      <c r="AB114" s="77" t="n">
        <f aca="false">MIN(AB57,AB113)</f>
        <v>4.929</v>
      </c>
      <c r="AC114" s="77" t="n">
        <f aca="false">MIN(AC57,AC113)</f>
        <v>5.115</v>
      </c>
      <c r="AD114" s="77" t="n">
        <f aca="false">MIN(AD57,AD113)</f>
        <v>3.85</v>
      </c>
      <c r="AE114" s="77" t="n">
        <f aca="false">MIN(AE57,AE113)</f>
        <v>0</v>
      </c>
      <c r="AF114" s="77" t="n">
        <f aca="false">MIN(AF57,AF113)</f>
        <v>0</v>
      </c>
      <c r="AG114" s="77" t="n">
        <f aca="false">MIN(AG57,AG113)</f>
        <v>0</v>
      </c>
      <c r="AH114" s="77" t="n">
        <f aca="false">MIN(AH57,AH113)</f>
        <v>0</v>
      </c>
      <c r="AI114" s="77" t="n">
        <f aca="false">MIN(AI57,AI113)</f>
        <v>0</v>
      </c>
      <c r="AJ114" s="77" t="n">
        <f aca="false">MIN(AJ57,AJ113)</f>
        <v>0</v>
      </c>
      <c r="AK114" s="77" t="n">
        <f aca="false">MIN(AK57,AK113)</f>
        <v>0</v>
      </c>
      <c r="AL114" s="77" t="n">
        <f aca="false">MIN(AL57,AL113)</f>
        <v>0</v>
      </c>
      <c r="AM114" s="77" t="n">
        <f aca="false">MIN(AM57,AM113)</f>
        <v>0</v>
      </c>
      <c r="AN114" s="77" t="n">
        <f aca="false">MIN(AN57,AN113)</f>
        <v>0</v>
      </c>
      <c r="AO114" s="77" t="n">
        <f aca="false">MIN(AO57,AO113)</f>
        <v>0</v>
      </c>
    </row>
    <row r="115" customFormat="false" ht="15" hidden="false" customHeight="false" outlineLevel="0" collapsed="false">
      <c r="C115" s="42" t="s">
        <v>563</v>
      </c>
      <c r="D115" s="63" t="s">
        <v>480</v>
      </c>
      <c r="E115" s="63"/>
      <c r="F115" s="73"/>
      <c r="G115" s="73"/>
      <c r="H115" s="72" t="n">
        <f aca="false">Y115</f>
        <v>23.38</v>
      </c>
      <c r="I115" s="72" t="n">
        <f aca="false">AC115</f>
        <v>3.85</v>
      </c>
      <c r="J115" s="72" t="n">
        <f aca="false">AG115</f>
        <v>0</v>
      </c>
      <c r="K115" s="72" t="n">
        <f aca="false">AK115</f>
        <v>0</v>
      </c>
      <c r="L115" s="72" t="n">
        <f aca="false">AO115</f>
        <v>0</v>
      </c>
      <c r="N115" s="73"/>
      <c r="O115" s="73"/>
      <c r="P115" s="73"/>
      <c r="Q115" s="73"/>
      <c r="R115" s="73"/>
      <c r="S115" s="73"/>
      <c r="T115" s="73"/>
      <c r="U115" s="73"/>
      <c r="V115" s="71" t="n">
        <f aca="false">V113-V114</f>
        <v>35.8</v>
      </c>
      <c r="W115" s="71" t="n">
        <f aca="false">W113-W114</f>
        <v>32.5</v>
      </c>
      <c r="X115" s="72" t="n">
        <f aca="false">X113-X114</f>
        <v>28.18</v>
      </c>
      <c r="Y115" s="72" t="n">
        <f aca="false">Y113-Y114</f>
        <v>23.38</v>
      </c>
      <c r="Z115" s="72" t="n">
        <f aca="false">Z113-Z114</f>
        <v>18.73</v>
      </c>
      <c r="AA115" s="72" t="n">
        <f aca="false">AA113-AA114</f>
        <v>13.894</v>
      </c>
      <c r="AB115" s="72" t="n">
        <f aca="false">AB113-AB114</f>
        <v>8.965</v>
      </c>
      <c r="AC115" s="72" t="n">
        <f aca="false">AC113-AC114</f>
        <v>3.85</v>
      </c>
      <c r="AD115" s="72" t="n">
        <f aca="false">AD113-AD114</f>
        <v>0</v>
      </c>
      <c r="AE115" s="72" t="n">
        <f aca="false">AE113-AE114</f>
        <v>0</v>
      </c>
      <c r="AF115" s="72" t="n">
        <f aca="false">AF113-AF114</f>
        <v>0</v>
      </c>
      <c r="AG115" s="72" t="n">
        <f aca="false">AG113-AG114</f>
        <v>0</v>
      </c>
      <c r="AH115" s="72" t="n">
        <f aca="false">AH113-AH114</f>
        <v>0</v>
      </c>
      <c r="AI115" s="72" t="n">
        <f aca="false">AI113-AI114</f>
        <v>0</v>
      </c>
      <c r="AJ115" s="72" t="n">
        <f aca="false">AJ113-AJ114</f>
        <v>0</v>
      </c>
      <c r="AK115" s="72" t="n">
        <f aca="false">AK113-AK114</f>
        <v>0</v>
      </c>
      <c r="AL115" s="72" t="n">
        <f aca="false">AL113-AL114</f>
        <v>0</v>
      </c>
      <c r="AM115" s="72" t="n">
        <f aca="false">AM113-AM114</f>
        <v>0</v>
      </c>
      <c r="AN115" s="72" t="n">
        <f aca="false">AN113-AN114</f>
        <v>0</v>
      </c>
      <c r="AO115" s="72" t="n">
        <f aca="false">AO113-AO114</f>
        <v>0</v>
      </c>
    </row>
    <row r="117" customFormat="false" ht="15" hidden="false" customHeight="false" outlineLevel="0" collapsed="false">
      <c r="C117" s="48" t="s">
        <v>564</v>
      </c>
      <c r="D117" s="58"/>
      <c r="E117" s="58"/>
    </row>
    <row r="118" customFormat="false" ht="15" hidden="false" customHeight="false" outlineLevel="0" collapsed="false">
      <c r="C118" s="40" t="s">
        <v>565</v>
      </c>
      <c r="D118" s="58" t="s">
        <v>480</v>
      </c>
      <c r="E118" s="58"/>
      <c r="F118" s="40"/>
      <c r="G118" s="40"/>
      <c r="H118" s="77" t="n">
        <f aca="false">V118</f>
        <v>43</v>
      </c>
      <c r="I118" s="77" t="n">
        <f aca="false">Z118</f>
        <v>11.5072</v>
      </c>
      <c r="J118" s="77" t="n">
        <f aca="false">AD118</f>
        <v>0</v>
      </c>
      <c r="K118" s="77" t="n">
        <f aca="false">AH118</f>
        <v>0</v>
      </c>
      <c r="L118" s="77" t="n">
        <f aca="false">AL118</f>
        <v>0</v>
      </c>
      <c r="N118" s="40"/>
      <c r="O118" s="40"/>
      <c r="P118" s="40"/>
      <c r="Q118" s="40"/>
      <c r="R118" s="40"/>
      <c r="S118" s="40"/>
      <c r="T118" s="40"/>
      <c r="U118" s="40"/>
      <c r="V118" s="78" t="n">
        <f aca="false">U49</f>
        <v>43</v>
      </c>
      <c r="W118" s="78" t="n">
        <f aca="false">V120</f>
        <v>36.9</v>
      </c>
      <c r="X118" s="77" t="n">
        <f aca="false">W120</f>
        <v>26.8</v>
      </c>
      <c r="Y118" s="77" t="n">
        <f aca="false">X120</f>
        <v>19.24</v>
      </c>
      <c r="Z118" s="77" t="n">
        <f aca="false">Y120</f>
        <v>11.5072</v>
      </c>
      <c r="AA118" s="77" t="n">
        <f aca="false">Z120</f>
        <v>5.265016</v>
      </c>
      <c r="AB118" s="77" t="n">
        <f aca="false">AA120</f>
        <v>0</v>
      </c>
      <c r="AC118" s="77" t="n">
        <f aca="false">AB120</f>
        <v>0</v>
      </c>
      <c r="AD118" s="77" t="n">
        <f aca="false">AC120</f>
        <v>0</v>
      </c>
      <c r="AE118" s="77" t="n">
        <f aca="false">AD120</f>
        <v>0</v>
      </c>
      <c r="AF118" s="77" t="n">
        <f aca="false">AE120</f>
        <v>0</v>
      </c>
      <c r="AG118" s="77" t="n">
        <f aca="false">AF120</f>
        <v>0</v>
      </c>
      <c r="AH118" s="77" t="n">
        <f aca="false">AG120</f>
        <v>0</v>
      </c>
      <c r="AI118" s="77" t="n">
        <f aca="false">AH120</f>
        <v>0</v>
      </c>
      <c r="AJ118" s="77" t="n">
        <f aca="false">AI120</f>
        <v>0</v>
      </c>
      <c r="AK118" s="77" t="n">
        <f aca="false">AJ120</f>
        <v>0</v>
      </c>
      <c r="AL118" s="77" t="n">
        <f aca="false">AK120</f>
        <v>0</v>
      </c>
      <c r="AM118" s="77" t="n">
        <f aca="false">AL120</f>
        <v>0</v>
      </c>
      <c r="AN118" s="77" t="n">
        <f aca="false">AM120</f>
        <v>0</v>
      </c>
      <c r="AO118" s="77" t="n">
        <f aca="false">AN120</f>
        <v>0</v>
      </c>
    </row>
    <row r="119" customFormat="false" ht="15" hidden="false" customHeight="false" outlineLevel="0" collapsed="false">
      <c r="C119" s="40" t="s">
        <v>483</v>
      </c>
      <c r="D119" s="58" t="s">
        <v>480</v>
      </c>
      <c r="E119" s="58" t="s">
        <v>566</v>
      </c>
      <c r="F119" s="40"/>
      <c r="G119" s="40"/>
      <c r="H119" s="77" t="n">
        <f aca="false">SUM(V119:Y119)</f>
        <v>31.4928</v>
      </c>
      <c r="I119" s="77" t="n">
        <f aca="false">SUM(Z119:AC119)</f>
        <v>11.5072</v>
      </c>
      <c r="J119" s="77" t="n">
        <f aca="false">SUM(AD119:AG119)</f>
        <v>0</v>
      </c>
      <c r="K119" s="77" t="n">
        <f aca="false">SUM(AH119:AK119)</f>
        <v>0</v>
      </c>
      <c r="L119" s="77" t="n">
        <f aca="false">SUM(AL119:AO119)</f>
        <v>0</v>
      </c>
      <c r="N119" s="40"/>
      <c r="O119" s="40"/>
      <c r="P119" s="40"/>
      <c r="Q119" s="40"/>
      <c r="R119" s="40"/>
      <c r="S119" s="40"/>
      <c r="T119" s="40"/>
      <c r="U119" s="40"/>
      <c r="V119" s="78" t="n">
        <f aca="false">MIN(V47,V118)</f>
        <v>6.1</v>
      </c>
      <c r="W119" s="78" t="n">
        <f aca="false">MIN(W47,W118)</f>
        <v>10.1</v>
      </c>
      <c r="X119" s="77" t="n">
        <f aca="false">MIN(X47,X118)</f>
        <v>7.56</v>
      </c>
      <c r="Y119" s="77" t="n">
        <f aca="false">MIN(Y47,Y118)</f>
        <v>7.7328</v>
      </c>
      <c r="Z119" s="77" t="n">
        <f aca="false">MIN(Z47,Z118)</f>
        <v>6.242184</v>
      </c>
      <c r="AA119" s="77" t="n">
        <f aca="false">MIN(AA47,AA118)</f>
        <v>5.265016</v>
      </c>
      <c r="AB119" s="77" t="n">
        <f aca="false">MIN(AB47,AB118)</f>
        <v>0</v>
      </c>
      <c r="AC119" s="77" t="n">
        <f aca="false">MIN(AC47,AC118)</f>
        <v>0</v>
      </c>
      <c r="AD119" s="77" t="n">
        <f aca="false">MIN(AD47,AD118)</f>
        <v>0</v>
      </c>
      <c r="AE119" s="77" t="n">
        <f aca="false">MIN(AE47,AE118)</f>
        <v>0</v>
      </c>
      <c r="AF119" s="77" t="n">
        <f aca="false">MIN(AF47,AF118)</f>
        <v>0</v>
      </c>
      <c r="AG119" s="77" t="n">
        <f aca="false">MIN(AG47,AG118)</f>
        <v>0</v>
      </c>
      <c r="AH119" s="77" t="n">
        <f aca="false">MIN(AH47,AH118)</f>
        <v>0</v>
      </c>
      <c r="AI119" s="77" t="n">
        <f aca="false">MIN(AI47,AI118)</f>
        <v>0</v>
      </c>
      <c r="AJ119" s="77" t="n">
        <f aca="false">MIN(AJ47,AJ118)</f>
        <v>0</v>
      </c>
      <c r="AK119" s="77" t="n">
        <f aca="false">MIN(AK47,AK118)</f>
        <v>0</v>
      </c>
      <c r="AL119" s="77" t="n">
        <f aca="false">MIN(AL47,AL118)</f>
        <v>0</v>
      </c>
      <c r="AM119" s="77" t="n">
        <f aca="false">MIN(AM47,AM118)</f>
        <v>0</v>
      </c>
      <c r="AN119" s="77" t="n">
        <f aca="false">MIN(AN47,AN118)</f>
        <v>0</v>
      </c>
      <c r="AO119" s="77" t="n">
        <f aca="false">MIN(AO47,AO118)</f>
        <v>0</v>
      </c>
    </row>
    <row r="120" customFormat="false" ht="15" hidden="false" customHeight="false" outlineLevel="0" collapsed="false">
      <c r="C120" s="42" t="s">
        <v>567</v>
      </c>
      <c r="D120" s="63" t="s">
        <v>480</v>
      </c>
      <c r="E120" s="63"/>
      <c r="F120" s="73"/>
      <c r="G120" s="73"/>
      <c r="H120" s="72" t="n">
        <f aca="false">Y120</f>
        <v>11.5072</v>
      </c>
      <c r="I120" s="72" t="n">
        <f aca="false">AC120</f>
        <v>0</v>
      </c>
      <c r="J120" s="72" t="n">
        <f aca="false">AG120</f>
        <v>0</v>
      </c>
      <c r="K120" s="72" t="n">
        <f aca="false">AK120</f>
        <v>0</v>
      </c>
      <c r="L120" s="72" t="n">
        <f aca="false">AO120</f>
        <v>0</v>
      </c>
      <c r="N120" s="73"/>
      <c r="O120" s="73"/>
      <c r="P120" s="73"/>
      <c r="Q120" s="73"/>
      <c r="R120" s="73"/>
      <c r="S120" s="73"/>
      <c r="T120" s="73"/>
      <c r="U120" s="73"/>
      <c r="V120" s="71" t="n">
        <f aca="false">V118-V119</f>
        <v>36.9</v>
      </c>
      <c r="W120" s="71" t="n">
        <f aca="false">W118-W119</f>
        <v>26.8</v>
      </c>
      <c r="X120" s="72" t="n">
        <f aca="false">X118-X119</f>
        <v>19.24</v>
      </c>
      <c r="Y120" s="72" t="n">
        <f aca="false">Y118-Y119</f>
        <v>11.5072</v>
      </c>
      <c r="Z120" s="72" t="n">
        <f aca="false">Z118-Z119</f>
        <v>5.265016</v>
      </c>
      <c r="AA120" s="72" t="n">
        <f aca="false">AA118-AA119</f>
        <v>0</v>
      </c>
      <c r="AB120" s="72" t="n">
        <f aca="false">AB118-AB119</f>
        <v>0</v>
      </c>
      <c r="AC120" s="72" t="n">
        <f aca="false">AC118-AC119</f>
        <v>0</v>
      </c>
      <c r="AD120" s="72" t="n">
        <f aca="false">AD118-AD119</f>
        <v>0</v>
      </c>
      <c r="AE120" s="72" t="n">
        <f aca="false">AE118-AE119</f>
        <v>0</v>
      </c>
      <c r="AF120" s="72" t="n">
        <f aca="false">AF118-AF119</f>
        <v>0</v>
      </c>
      <c r="AG120" s="72" t="n">
        <f aca="false">AG118-AG119</f>
        <v>0</v>
      </c>
      <c r="AH120" s="72" t="n">
        <f aca="false">AH118-AH119</f>
        <v>0</v>
      </c>
      <c r="AI120" s="72" t="n">
        <f aca="false">AI118-AI119</f>
        <v>0</v>
      </c>
      <c r="AJ120" s="72" t="n">
        <f aca="false">AJ118-AJ119</f>
        <v>0</v>
      </c>
      <c r="AK120" s="72" t="n">
        <f aca="false">AK118-AK119</f>
        <v>0</v>
      </c>
      <c r="AL120" s="72" t="n">
        <f aca="false">AL118-AL119</f>
        <v>0</v>
      </c>
      <c r="AM120" s="72" t="n">
        <f aca="false">AM118-AM119</f>
        <v>0</v>
      </c>
      <c r="AN120" s="72" t="n">
        <f aca="false">AN118-AN119</f>
        <v>0</v>
      </c>
      <c r="AO120" s="72" t="n">
        <f aca="false">AO118-AO119</f>
        <v>0</v>
      </c>
    </row>
    <row r="121" customFormat="false" ht="15" hidden="false" customHeight="false" outlineLevel="0" collapsed="false">
      <c r="C121" s="40" t="s">
        <v>568</v>
      </c>
      <c r="D121" s="58" t="s">
        <v>480</v>
      </c>
      <c r="E121" s="58"/>
      <c r="F121" s="40"/>
      <c r="G121" s="40"/>
      <c r="H121" s="77" t="n">
        <f aca="false">V121</f>
        <v>0</v>
      </c>
      <c r="I121" s="77" t="n">
        <f aca="false">Z121</f>
        <v>31.4928</v>
      </c>
      <c r="J121" s="77" t="n">
        <f aca="false">AD121</f>
        <v>43</v>
      </c>
      <c r="K121" s="77" t="n">
        <f aca="false">AH121</f>
        <v>24.77</v>
      </c>
      <c r="L121" s="77" t="n">
        <f aca="false">AL121</f>
        <v>0</v>
      </c>
      <c r="N121" s="40"/>
      <c r="O121" s="40"/>
      <c r="P121" s="40"/>
      <c r="Q121" s="40"/>
      <c r="R121" s="40"/>
      <c r="S121" s="40"/>
      <c r="T121" s="40"/>
      <c r="U121" s="40"/>
      <c r="V121" s="69" t="n">
        <v>0</v>
      </c>
      <c r="W121" s="78" t="n">
        <f aca="false">V123</f>
        <v>6.1</v>
      </c>
      <c r="X121" s="77" t="n">
        <f aca="false">W123</f>
        <v>16.2</v>
      </c>
      <c r="Y121" s="77" t="n">
        <f aca="false">X123</f>
        <v>23.76</v>
      </c>
      <c r="Z121" s="77" t="n">
        <f aca="false">Y123</f>
        <v>31.4928</v>
      </c>
      <c r="AA121" s="77" t="n">
        <f aca="false">Z123</f>
        <v>37.734984</v>
      </c>
      <c r="AB121" s="77" t="n">
        <f aca="false">AA123</f>
        <v>43</v>
      </c>
      <c r="AC121" s="77" t="n">
        <f aca="false">AB123</f>
        <v>43</v>
      </c>
      <c r="AD121" s="77" t="n">
        <f aca="false">AC123</f>
        <v>43</v>
      </c>
      <c r="AE121" s="77" t="n">
        <f aca="false">AD123</f>
        <v>41.606</v>
      </c>
      <c r="AF121" s="77" t="n">
        <f aca="false">AE123</f>
        <v>36.178</v>
      </c>
      <c r="AG121" s="77" t="n">
        <f aca="false">AF123</f>
        <v>30.566</v>
      </c>
      <c r="AH121" s="77" t="n">
        <f aca="false">AG123</f>
        <v>24.77</v>
      </c>
      <c r="AI121" s="77" t="n">
        <f aca="false">AH123</f>
        <v>18.882</v>
      </c>
      <c r="AJ121" s="77" t="n">
        <f aca="false">AI123</f>
        <v>12.764</v>
      </c>
      <c r="AK121" s="77" t="n">
        <f aca="false">AJ123</f>
        <v>6.46199999999999</v>
      </c>
      <c r="AL121" s="77" t="n">
        <f aca="false">AK123</f>
        <v>0</v>
      </c>
      <c r="AM121" s="77" t="n">
        <f aca="false">AL123</f>
        <v>0</v>
      </c>
      <c r="AN121" s="77" t="n">
        <f aca="false">AM123</f>
        <v>0</v>
      </c>
      <c r="AO121" s="77" t="n">
        <f aca="false">AN123</f>
        <v>0</v>
      </c>
    </row>
    <row r="122" customFormat="false" ht="15" hidden="false" customHeight="false" outlineLevel="0" collapsed="false">
      <c r="C122" s="40" t="s">
        <v>562</v>
      </c>
      <c r="D122" s="58" t="s">
        <v>480</v>
      </c>
      <c r="E122" s="58"/>
      <c r="F122" s="40"/>
      <c r="G122" s="40"/>
      <c r="H122" s="77" t="n">
        <f aca="false">SUM(V122:Y122)</f>
        <v>0</v>
      </c>
      <c r="I122" s="77" t="n">
        <f aca="false">SUM(Z122:AC122)</f>
        <v>0</v>
      </c>
      <c r="J122" s="77" t="n">
        <f aca="false">SUM(AD122:AG122)</f>
        <v>18.23</v>
      </c>
      <c r="K122" s="77" t="n">
        <f aca="false">SUM(AH122:AK122)</f>
        <v>24.77</v>
      </c>
      <c r="L122" s="77" t="n">
        <f aca="false">SUM(AL122:AO122)</f>
        <v>0</v>
      </c>
      <c r="N122" s="40"/>
      <c r="O122" s="40"/>
      <c r="P122" s="40"/>
      <c r="Q122" s="40"/>
      <c r="R122" s="40"/>
      <c r="S122" s="40"/>
      <c r="T122" s="40"/>
      <c r="U122" s="40"/>
      <c r="V122" s="78" t="n">
        <f aca="false">MIN(V57-V114,V121)</f>
        <v>0</v>
      </c>
      <c r="W122" s="78" t="n">
        <f aca="false">MIN(W57-W114,W121)</f>
        <v>0</v>
      </c>
      <c r="X122" s="77" t="n">
        <f aca="false">MIN(X57-X114,X121)</f>
        <v>0</v>
      </c>
      <c r="Y122" s="77" t="n">
        <f aca="false">MIN(Y57-Y114,Y121)</f>
        <v>0</v>
      </c>
      <c r="Z122" s="77" t="n">
        <f aca="false">MIN(Z57-Z114,Z121)</f>
        <v>0</v>
      </c>
      <c r="AA122" s="77" t="n">
        <f aca="false">MIN(AA57-AA114,AA121)</f>
        <v>0</v>
      </c>
      <c r="AB122" s="77" t="n">
        <f aca="false">MIN(AB57-AB114,AB121)</f>
        <v>0</v>
      </c>
      <c r="AC122" s="77" t="n">
        <f aca="false">MIN(AC57-AC114,AC121)</f>
        <v>0</v>
      </c>
      <c r="AD122" s="77" t="n">
        <f aca="false">MIN(AD57-AD114,AD121)</f>
        <v>1.394</v>
      </c>
      <c r="AE122" s="77" t="n">
        <f aca="false">MIN(AE57-AE114,AE121)</f>
        <v>5.428</v>
      </c>
      <c r="AF122" s="77" t="n">
        <f aca="false">MIN(AF57-AF114,AF121)</f>
        <v>5.612</v>
      </c>
      <c r="AG122" s="77" t="n">
        <f aca="false">MIN(AG57-AG114,AG121)</f>
        <v>5.796</v>
      </c>
      <c r="AH122" s="77" t="n">
        <f aca="false">MIN(AH57-AH114,AH121)</f>
        <v>5.888</v>
      </c>
      <c r="AI122" s="77" t="n">
        <f aca="false">MIN(AI57-AI114,AI121)</f>
        <v>6.118</v>
      </c>
      <c r="AJ122" s="77" t="n">
        <f aca="false">MIN(AJ57-AJ114,AJ121)</f>
        <v>6.302</v>
      </c>
      <c r="AK122" s="77" t="n">
        <f aca="false">MIN(AK57-AK114,AK121)</f>
        <v>6.46199999999999</v>
      </c>
      <c r="AL122" s="77" t="n">
        <f aca="false">MIN(AL57-AL114,AL121)</f>
        <v>0</v>
      </c>
      <c r="AM122" s="77" t="n">
        <f aca="false">MIN(AM57-AM114,AM121)</f>
        <v>0</v>
      </c>
      <c r="AN122" s="77" t="n">
        <f aca="false">MIN(AN57-AN114,AN121)</f>
        <v>0</v>
      </c>
      <c r="AO122" s="77" t="n">
        <f aca="false">MIN(AO57-AO114,AO121)</f>
        <v>0</v>
      </c>
    </row>
    <row r="123" customFormat="false" ht="15" hidden="false" customHeight="false" outlineLevel="0" collapsed="false">
      <c r="C123" s="42" t="s">
        <v>569</v>
      </c>
      <c r="D123" s="63" t="s">
        <v>480</v>
      </c>
      <c r="E123" s="63" t="s">
        <v>570</v>
      </c>
      <c r="F123" s="73"/>
      <c r="G123" s="73"/>
      <c r="H123" s="72" t="n">
        <f aca="false">Y123</f>
        <v>31.4928</v>
      </c>
      <c r="I123" s="72" t="n">
        <f aca="false">AC123</f>
        <v>43</v>
      </c>
      <c r="J123" s="72" t="n">
        <f aca="false">AG123</f>
        <v>24.77</v>
      </c>
      <c r="K123" s="72" t="n">
        <f aca="false">AK123</f>
        <v>0</v>
      </c>
      <c r="L123" s="72" t="n">
        <f aca="false">AO123</f>
        <v>0</v>
      </c>
      <c r="N123" s="73"/>
      <c r="O123" s="73"/>
      <c r="P123" s="73"/>
      <c r="Q123" s="73"/>
      <c r="R123" s="73"/>
      <c r="S123" s="73"/>
      <c r="T123" s="73"/>
      <c r="U123" s="73"/>
      <c r="V123" s="71" t="n">
        <f aca="false">V121+V119-V122</f>
        <v>6.1</v>
      </c>
      <c r="W123" s="71" t="n">
        <f aca="false">W121+W119-W122</f>
        <v>16.2</v>
      </c>
      <c r="X123" s="72" t="n">
        <f aca="false">X121+X119-X122</f>
        <v>23.76</v>
      </c>
      <c r="Y123" s="72" t="n">
        <f aca="false">Y121+Y119-Y122</f>
        <v>31.4928</v>
      </c>
      <c r="Z123" s="72" t="n">
        <f aca="false">Z121+Z119-Z122</f>
        <v>37.734984</v>
      </c>
      <c r="AA123" s="72" t="n">
        <f aca="false">AA121+AA119-AA122</f>
        <v>43</v>
      </c>
      <c r="AB123" s="72" t="n">
        <f aca="false">AB121+AB119-AB122</f>
        <v>43</v>
      </c>
      <c r="AC123" s="72" t="n">
        <f aca="false">AC121+AC119-AC122</f>
        <v>43</v>
      </c>
      <c r="AD123" s="72" t="n">
        <f aca="false">AD121+AD119-AD122</f>
        <v>41.606</v>
      </c>
      <c r="AE123" s="72" t="n">
        <f aca="false">AE121+AE119-AE122</f>
        <v>36.178</v>
      </c>
      <c r="AF123" s="72" t="n">
        <f aca="false">AF121+AF119-AF122</f>
        <v>30.566</v>
      </c>
      <c r="AG123" s="72" t="n">
        <f aca="false">AG121+AG119-AG122</f>
        <v>24.77</v>
      </c>
      <c r="AH123" s="72" t="n">
        <f aca="false">AH121+AH119-AH122</f>
        <v>18.882</v>
      </c>
      <c r="AI123" s="72" t="n">
        <f aca="false">AI121+AI119-AI122</f>
        <v>12.764</v>
      </c>
      <c r="AJ123" s="72" t="n">
        <f aca="false">AJ121+AJ119-AJ122</f>
        <v>6.46199999999999</v>
      </c>
      <c r="AK123" s="72" t="n">
        <f aca="false">AK121+AK119-AK122</f>
        <v>0</v>
      </c>
      <c r="AL123" s="72" t="n">
        <f aca="false">AL121+AL119-AL122</f>
        <v>0</v>
      </c>
      <c r="AM123" s="72" t="n">
        <f aca="false">AM121+AM119-AM122</f>
        <v>0</v>
      </c>
      <c r="AN123" s="72" t="n">
        <f aca="false">AN121+AN119-AN122</f>
        <v>0</v>
      </c>
      <c r="AO123" s="72" t="n">
        <f aca="false">AO121+AO119-AO122</f>
        <v>0</v>
      </c>
    </row>
    <row r="125" customFormat="false" ht="15" hidden="false" customHeight="false" outlineLevel="0" collapsed="false">
      <c r="C125" s="48" t="s">
        <v>571</v>
      </c>
      <c r="D125" s="58" t="s">
        <v>480</v>
      </c>
      <c r="E125" s="58"/>
      <c r="F125" s="40"/>
      <c r="G125" s="40"/>
      <c r="H125" s="82" t="n">
        <f aca="false">SUM(V125:Y125)</f>
        <v>0</v>
      </c>
      <c r="I125" s="82" t="n">
        <f aca="false">SUM(Z125:AC125)</f>
        <v>0</v>
      </c>
      <c r="J125" s="82" t="n">
        <f aca="false">SUM(AD125:AG125)</f>
        <v>0</v>
      </c>
      <c r="K125" s="82" t="n">
        <f aca="false">SUM(AH125:AK125)</f>
        <v>0.0700000000000056</v>
      </c>
      <c r="L125" s="82" t="n">
        <f aca="false">SUM(AL125:AO125)</f>
        <v>27.6</v>
      </c>
      <c r="N125" s="40"/>
      <c r="O125" s="40"/>
      <c r="P125" s="40"/>
      <c r="Q125" s="40"/>
      <c r="R125" s="40"/>
      <c r="S125" s="40"/>
      <c r="T125" s="40"/>
      <c r="U125" s="40"/>
      <c r="V125" s="81" t="n">
        <f aca="false">V57-V114-V122</f>
        <v>0</v>
      </c>
      <c r="W125" s="81" t="n">
        <f aca="false">W57-W114-W122</f>
        <v>0</v>
      </c>
      <c r="X125" s="82" t="n">
        <f aca="false">X57-X114-X122</f>
        <v>0</v>
      </c>
      <c r="Y125" s="82" t="n">
        <f aca="false">Y57-Y114-Y122</f>
        <v>0</v>
      </c>
      <c r="Z125" s="82" t="n">
        <f aca="false">Z57-Z114-Z122</f>
        <v>0</v>
      </c>
      <c r="AA125" s="82" t="n">
        <f aca="false">AA57-AA114-AA122</f>
        <v>0</v>
      </c>
      <c r="AB125" s="82" t="n">
        <f aca="false">AB57-AB114-AB122</f>
        <v>0</v>
      </c>
      <c r="AC125" s="82" t="n">
        <f aca="false">AC57-AC114-AC122</f>
        <v>0</v>
      </c>
      <c r="AD125" s="82" t="n">
        <f aca="false">AD57-AD114-AD122</f>
        <v>0</v>
      </c>
      <c r="AE125" s="82" t="n">
        <f aca="false">AE57-AE114-AE122</f>
        <v>0</v>
      </c>
      <c r="AF125" s="82" t="n">
        <f aca="false">AF57-AF114-AF122</f>
        <v>0</v>
      </c>
      <c r="AG125" s="82" t="n">
        <f aca="false">AG57-AG114-AG122</f>
        <v>0</v>
      </c>
      <c r="AH125" s="82" t="n">
        <f aca="false">AH57-AH114-AH122</f>
        <v>0</v>
      </c>
      <c r="AI125" s="82" t="n">
        <f aca="false">AI57-AI114-AI122</f>
        <v>0</v>
      </c>
      <c r="AJ125" s="82" t="n">
        <f aca="false">AJ57-AJ114-AJ122</f>
        <v>0</v>
      </c>
      <c r="AK125" s="82" t="n">
        <f aca="false">AK57-AK114-AK122</f>
        <v>0.0700000000000056</v>
      </c>
      <c r="AL125" s="82" t="n">
        <f aca="false">AL57-AL114-AL122</f>
        <v>6.624</v>
      </c>
      <c r="AM125" s="82" t="n">
        <f aca="false">AM57-AM114-AM122</f>
        <v>6.808</v>
      </c>
      <c r="AN125" s="82" t="n">
        <f aca="false">AN57-AN114-AN122</f>
        <v>6.992</v>
      </c>
      <c r="AO125" s="82" t="n">
        <f aca="false">AO57-AO114-AO122</f>
        <v>7.176</v>
      </c>
    </row>
    <row r="126" customFormat="false" ht="15" hidden="false" customHeight="false" outlineLevel="0" collapsed="false">
      <c r="C126" s="46" t="s">
        <v>572</v>
      </c>
      <c r="D126" s="58"/>
      <c r="E126" s="58"/>
      <c r="F126" s="40"/>
      <c r="G126" s="40"/>
      <c r="H126" s="66" t="n">
        <f aca="false">H114/H57</f>
        <v>1</v>
      </c>
      <c r="I126" s="66" t="n">
        <f aca="false">I114/I57</f>
        <v>1</v>
      </c>
      <c r="J126" s="66" t="n">
        <f aca="false">J114/J57</f>
        <v>0.174365942028985</v>
      </c>
      <c r="K126" s="66" t="n">
        <f aca="false">K114/K57</f>
        <v>0</v>
      </c>
      <c r="L126" s="66" t="n">
        <f aca="false">L114/L57</f>
        <v>0</v>
      </c>
      <c r="N126" s="40"/>
      <c r="O126" s="40"/>
      <c r="P126" s="40"/>
      <c r="Q126" s="40"/>
      <c r="R126" s="40"/>
      <c r="S126" s="40"/>
      <c r="T126" s="40"/>
      <c r="U126" s="40"/>
      <c r="V126" s="65" t="n">
        <f aca="false">V114/V57</f>
        <v>1</v>
      </c>
      <c r="W126" s="65" t="n">
        <f aca="false">W114/W57</f>
        <v>1</v>
      </c>
      <c r="X126" s="66" t="n">
        <f aca="false">X114/X57</f>
        <v>1</v>
      </c>
      <c r="Y126" s="66" t="n">
        <f aca="false">Y114/Y57</f>
        <v>1</v>
      </c>
      <c r="Z126" s="66" t="n">
        <f aca="false">Z114/Z57</f>
        <v>1</v>
      </c>
      <c r="AA126" s="66" t="n">
        <f aca="false">AA114/AA57</f>
        <v>1</v>
      </c>
      <c r="AB126" s="66" t="n">
        <f aca="false">AB114/AB57</f>
        <v>1</v>
      </c>
      <c r="AC126" s="66" t="n">
        <f aca="false">AC114/AC57</f>
        <v>1</v>
      </c>
      <c r="AD126" s="66" t="n">
        <f aca="false">AD114/AD57</f>
        <v>0.734172387490464</v>
      </c>
      <c r="AE126" s="66" t="n">
        <f aca="false">AE114/AE57</f>
        <v>0</v>
      </c>
      <c r="AF126" s="66" t="n">
        <f aca="false">AF114/AF57</f>
        <v>0</v>
      </c>
      <c r="AG126" s="66" t="n">
        <f aca="false">AG114/AG57</f>
        <v>0</v>
      </c>
      <c r="AH126" s="66" t="n">
        <f aca="false">AH114/AH57</f>
        <v>0</v>
      </c>
      <c r="AI126" s="66" t="n">
        <f aca="false">AI114/AI57</f>
        <v>0</v>
      </c>
      <c r="AJ126" s="66" t="n">
        <f aca="false">AJ114/AJ57</f>
        <v>0</v>
      </c>
      <c r="AK126" s="66" t="n">
        <f aca="false">AK114/AK57</f>
        <v>0</v>
      </c>
      <c r="AL126" s="66" t="n">
        <f aca="false">AL114/AL57</f>
        <v>0</v>
      </c>
      <c r="AM126" s="66" t="n">
        <f aca="false">AM114/AM57</f>
        <v>0</v>
      </c>
      <c r="AN126" s="66" t="n">
        <f aca="false">AN114/AN57</f>
        <v>0</v>
      </c>
      <c r="AO126" s="66" t="n">
        <f aca="false">AO114/AO57</f>
        <v>0</v>
      </c>
    </row>
    <row r="127" customFormat="false" ht="15" hidden="false" customHeight="false" outlineLevel="0" collapsed="false">
      <c r="C127" s="46" t="s">
        <v>573</v>
      </c>
      <c r="D127" s="58"/>
      <c r="E127" s="58"/>
      <c r="F127" s="40"/>
      <c r="G127" s="40"/>
      <c r="H127" s="66" t="n">
        <f aca="false">H122/H57</f>
        <v>0</v>
      </c>
      <c r="I127" s="66" t="n">
        <f aca="false">I122/I57</f>
        <v>0</v>
      </c>
      <c r="J127" s="66" t="n">
        <f aca="false">J122/J57</f>
        <v>0.825634057971015</v>
      </c>
      <c r="K127" s="66" t="n">
        <f aca="false">K122/K57</f>
        <v>0.997181964573269</v>
      </c>
      <c r="L127" s="66" t="n">
        <f aca="false">L122/L57</f>
        <v>0</v>
      </c>
      <c r="N127" s="40"/>
      <c r="O127" s="40"/>
      <c r="P127" s="40"/>
      <c r="Q127" s="40"/>
      <c r="R127" s="40"/>
      <c r="S127" s="40"/>
      <c r="T127" s="40"/>
      <c r="U127" s="40"/>
      <c r="V127" s="65" t="n">
        <f aca="false">V122/V57</f>
        <v>0</v>
      </c>
      <c r="W127" s="65" t="n">
        <f aca="false">W122/W57</f>
        <v>0</v>
      </c>
      <c r="X127" s="66" t="n">
        <f aca="false">X122/X57</f>
        <v>0</v>
      </c>
      <c r="Y127" s="66" t="n">
        <f aca="false">Y122/Y57</f>
        <v>0</v>
      </c>
      <c r="Z127" s="66" t="n">
        <f aca="false">Z122/Z57</f>
        <v>0</v>
      </c>
      <c r="AA127" s="66" t="n">
        <f aca="false">AA122/AA57</f>
        <v>0</v>
      </c>
      <c r="AB127" s="66" t="n">
        <f aca="false">AB122/AB57</f>
        <v>0</v>
      </c>
      <c r="AC127" s="66" t="n">
        <f aca="false">AC122/AC57</f>
        <v>0</v>
      </c>
      <c r="AD127" s="66" t="n">
        <f aca="false">AD122/AD57</f>
        <v>0.265827612509536</v>
      </c>
      <c r="AE127" s="66" t="n">
        <f aca="false">AE122/AE57</f>
        <v>1</v>
      </c>
      <c r="AF127" s="66" t="n">
        <f aca="false">AF122/AF57</f>
        <v>1</v>
      </c>
      <c r="AG127" s="66" t="n">
        <f aca="false">AG122/AG57</f>
        <v>1</v>
      </c>
      <c r="AH127" s="66" t="n">
        <f aca="false">AH122/AH57</f>
        <v>1</v>
      </c>
      <c r="AI127" s="66" t="n">
        <f aca="false">AI122/AI57</f>
        <v>1</v>
      </c>
      <c r="AJ127" s="66" t="n">
        <f aca="false">AJ122/AJ57</f>
        <v>1</v>
      </c>
      <c r="AK127" s="66" t="n">
        <f aca="false">AK122/AK57</f>
        <v>0.989283527250458</v>
      </c>
      <c r="AL127" s="66" t="n">
        <f aca="false">AL122/AL57</f>
        <v>0</v>
      </c>
      <c r="AM127" s="66" t="n">
        <f aca="false">AM122/AM57</f>
        <v>0</v>
      </c>
      <c r="AN127" s="66" t="n">
        <f aca="false">AN122/AN57</f>
        <v>0</v>
      </c>
      <c r="AO127" s="66" t="n">
        <f aca="false">AO122/AO57</f>
        <v>0</v>
      </c>
    </row>
    <row r="128" customFormat="false" ht="15" hidden="false" customHeight="false" outlineLevel="0" collapsed="false">
      <c r="C128" s="46" t="s">
        <v>574</v>
      </c>
      <c r="D128" s="58"/>
      <c r="E128" s="58"/>
      <c r="F128" s="40"/>
      <c r="G128" s="40"/>
      <c r="H128" s="66" t="n">
        <f aca="false">H125/H57</f>
        <v>0</v>
      </c>
      <c r="I128" s="66" t="n">
        <f aca="false">I125/I57</f>
        <v>0</v>
      </c>
      <c r="J128" s="66" t="n">
        <f aca="false">J125/J57</f>
        <v>0</v>
      </c>
      <c r="K128" s="66" t="n">
        <f aca="false">K125/K57</f>
        <v>0.00281803542673131</v>
      </c>
      <c r="L128" s="66" t="n">
        <f aca="false">L125/L57</f>
        <v>1</v>
      </c>
      <c r="N128" s="40"/>
      <c r="O128" s="40"/>
      <c r="P128" s="40"/>
      <c r="Q128" s="40"/>
      <c r="R128" s="40"/>
      <c r="S128" s="40"/>
      <c r="T128" s="40"/>
      <c r="U128" s="40"/>
      <c r="V128" s="65" t="n">
        <f aca="false">V125/V57</f>
        <v>0</v>
      </c>
      <c r="W128" s="65" t="n">
        <f aca="false">W125/W57</f>
        <v>0</v>
      </c>
      <c r="X128" s="66" t="n">
        <f aca="false">X125/X57</f>
        <v>0</v>
      </c>
      <c r="Y128" s="66" t="n">
        <f aca="false">Y125/Y57</f>
        <v>0</v>
      </c>
      <c r="Z128" s="66" t="n">
        <f aca="false">Z125/Z57</f>
        <v>0</v>
      </c>
      <c r="AA128" s="66" t="n">
        <f aca="false">AA125/AA57</f>
        <v>0</v>
      </c>
      <c r="AB128" s="66" t="n">
        <f aca="false">AB125/AB57</f>
        <v>0</v>
      </c>
      <c r="AC128" s="66" t="n">
        <f aca="false">AC125/AC57</f>
        <v>0</v>
      </c>
      <c r="AD128" s="66" t="n">
        <f aca="false">AD125/AD57</f>
        <v>0</v>
      </c>
      <c r="AE128" s="66" t="n">
        <f aca="false">AE125/AE57</f>
        <v>0</v>
      </c>
      <c r="AF128" s="66" t="n">
        <f aca="false">AF125/AF57</f>
        <v>0</v>
      </c>
      <c r="AG128" s="66" t="n">
        <f aca="false">AG125/AG57</f>
        <v>0</v>
      </c>
      <c r="AH128" s="66" t="n">
        <f aca="false">AH125/AH57</f>
        <v>0</v>
      </c>
      <c r="AI128" s="66" t="n">
        <f aca="false">AI125/AI57</f>
        <v>0</v>
      </c>
      <c r="AJ128" s="66" t="n">
        <f aca="false">AJ125/AJ57</f>
        <v>0</v>
      </c>
      <c r="AK128" s="66" t="n">
        <f aca="false">AK125/AK57</f>
        <v>0.0107164727495416</v>
      </c>
      <c r="AL128" s="66" t="n">
        <f aca="false">AL125/AL57</f>
        <v>1</v>
      </c>
      <c r="AM128" s="66" t="n">
        <f aca="false">AM125/AM57</f>
        <v>1</v>
      </c>
      <c r="AN128" s="66" t="n">
        <f aca="false">AN125/AN57</f>
        <v>1</v>
      </c>
      <c r="AO128" s="66" t="n">
        <f aca="false">AO125/AO57</f>
        <v>1</v>
      </c>
    </row>
    <row r="130" customFormat="false" ht="15" hidden="false" customHeight="false" outlineLevel="0" collapsed="false">
      <c r="C130" s="48" t="s">
        <v>575</v>
      </c>
      <c r="D130" s="58"/>
      <c r="E130" s="58"/>
    </row>
    <row r="131" customFormat="false" ht="15" hidden="false" customHeight="false" outlineLevel="0" collapsed="false">
      <c r="C131" s="40" t="s">
        <v>576</v>
      </c>
      <c r="D131" s="58"/>
      <c r="E131" s="58"/>
      <c r="F131" s="40"/>
      <c r="G131" s="40"/>
      <c r="H131" s="62" t="n">
        <f aca="false">V131</f>
        <v>35508</v>
      </c>
      <c r="I131" s="62" t="n">
        <f aca="false">Z131</f>
        <v>25563.508125</v>
      </c>
      <c r="J131" s="62" t="n">
        <f aca="false">AD131</f>
        <v>19621.1224240819</v>
      </c>
      <c r="K131" s="62" t="n">
        <f aca="false">AH131</f>
        <v>15384.4629851622</v>
      </c>
      <c r="L131" s="62" t="n">
        <f aca="false">AL131</f>
        <v>12217.161599048</v>
      </c>
      <c r="N131" s="40"/>
      <c r="O131" s="40"/>
      <c r="P131" s="40"/>
      <c r="Q131" s="40"/>
      <c r="R131" s="40"/>
      <c r="S131" s="40"/>
      <c r="T131" s="40"/>
      <c r="U131" s="40"/>
      <c r="V131" s="41" t="n">
        <f aca="false">V88+V89</f>
        <v>35508</v>
      </c>
      <c r="W131" s="41" t="n">
        <f aca="false">V133</f>
        <v>33007</v>
      </c>
      <c r="X131" s="62" t="n">
        <f aca="false">W133</f>
        <v>29877</v>
      </c>
      <c r="Y131" s="62" t="n">
        <f aca="false">X133</f>
        <v>27636.225</v>
      </c>
      <c r="Z131" s="62" t="n">
        <f aca="false">Y133</f>
        <v>25563.508125</v>
      </c>
      <c r="AA131" s="62" t="n">
        <f aca="false">Z133</f>
        <v>23927.443605</v>
      </c>
      <c r="AB131" s="62" t="n">
        <f aca="false">AA133</f>
        <v>22396.08721428</v>
      </c>
      <c r="AC131" s="62" t="n">
        <f aca="false">AB133</f>
        <v>20962.7376325661</v>
      </c>
      <c r="AD131" s="62" t="n">
        <f aca="false">AC133</f>
        <v>19621.1224240819</v>
      </c>
      <c r="AE131" s="62" t="n">
        <f aca="false">AD133</f>
        <v>18463.476201061</v>
      </c>
      <c r="AF131" s="62" t="n">
        <f aca="false">AE133</f>
        <v>17374.1311051984</v>
      </c>
      <c r="AG131" s="62" t="n">
        <f aca="false">AF133</f>
        <v>16349.0573699917</v>
      </c>
      <c r="AH131" s="62" t="n">
        <f aca="false">AG133</f>
        <v>15384.4629851622</v>
      </c>
      <c r="AI131" s="62" t="n">
        <f aca="false">AH133</f>
        <v>14522.9330579931</v>
      </c>
      <c r="AJ131" s="62" t="n">
        <f aca="false">AI133</f>
        <v>13709.6488067455</v>
      </c>
      <c r="AK131" s="62" t="n">
        <f aca="false">AJ133</f>
        <v>12941.9084735678</v>
      </c>
      <c r="AL131" s="62" t="n">
        <f aca="false">AK133</f>
        <v>12217.161599048</v>
      </c>
      <c r="AM131" s="62" t="n">
        <f aca="false">AL133</f>
        <v>11557.4348726994</v>
      </c>
      <c r="AN131" s="62" t="n">
        <f aca="false">AM133</f>
        <v>10933.3333895736</v>
      </c>
      <c r="AO131" s="62" t="n">
        <f aca="false">AN133</f>
        <v>10342.9333865366</v>
      </c>
    </row>
    <row r="132" customFormat="false" ht="15" hidden="false" customHeight="false" outlineLevel="0" collapsed="false">
      <c r="C132" s="40" t="s">
        <v>577</v>
      </c>
      <c r="D132" s="58"/>
      <c r="E132" s="58" t="s">
        <v>578</v>
      </c>
      <c r="F132" s="40"/>
      <c r="G132" s="40"/>
      <c r="H132" s="62" t="n">
        <f aca="false">SUM(V132:Y132)</f>
        <v>9944.491875</v>
      </c>
      <c r="I132" s="62" t="n">
        <f aca="false">SUM(Z132:AC132)</f>
        <v>5942.38570091815</v>
      </c>
      <c r="J132" s="62" t="n">
        <f aca="false">SUM(AD132:AG132)</f>
        <v>4236.65943891965</v>
      </c>
      <c r="K132" s="62" t="n">
        <f aca="false">SUM(AH132:AK132)</f>
        <v>3167.30138611424</v>
      </c>
      <c r="L132" s="62" t="n">
        <f aca="false">SUM(AL132:AO132)</f>
        <v>2432.74661538431</v>
      </c>
      <c r="N132" s="40"/>
      <c r="O132" s="40"/>
      <c r="P132" s="40"/>
      <c r="Q132" s="40"/>
      <c r="R132" s="40"/>
      <c r="S132" s="40"/>
      <c r="T132" s="40"/>
      <c r="U132" s="40"/>
      <c r="V132" s="41" t="n">
        <f aca="false">V91</f>
        <v>2501</v>
      </c>
      <c r="W132" s="41" t="n">
        <f aca="false">W91</f>
        <v>3130</v>
      </c>
      <c r="X132" s="62" t="n">
        <f aca="false">'Key Drivers'!H26*X131</f>
        <v>2240.775</v>
      </c>
      <c r="Y132" s="62" t="n">
        <f aca="false">'Key Drivers'!H26*Y131</f>
        <v>2072.716875</v>
      </c>
      <c r="Z132" s="62" t="n">
        <f aca="false">'Key Drivers'!I26*Z131</f>
        <v>1636.06452</v>
      </c>
      <c r="AA132" s="62" t="n">
        <f aca="false">'Key Drivers'!I26*AA131</f>
        <v>1531.35639072</v>
      </c>
      <c r="AB132" s="62" t="n">
        <f aca="false">'Key Drivers'!I26*AB131</f>
        <v>1433.34958171392</v>
      </c>
      <c r="AC132" s="62" t="n">
        <f aca="false">'Key Drivers'!I26*AC131</f>
        <v>1341.61520848423</v>
      </c>
      <c r="AD132" s="62" t="n">
        <f aca="false">'Key Drivers'!J26*AD131</f>
        <v>1157.64622302083</v>
      </c>
      <c r="AE132" s="62" t="n">
        <f aca="false">'Key Drivers'!J26*AE131</f>
        <v>1089.3450958626</v>
      </c>
      <c r="AF132" s="62" t="n">
        <f aca="false">'Key Drivers'!J26*AF131</f>
        <v>1025.07373520671</v>
      </c>
      <c r="AG132" s="62" t="n">
        <f aca="false">'Key Drivers'!J26*AG131</f>
        <v>964.594384829511</v>
      </c>
      <c r="AH132" s="62" t="n">
        <f aca="false">'Key Drivers'!K26*AH131</f>
        <v>861.529927169083</v>
      </c>
      <c r="AI132" s="62" t="n">
        <f aca="false">'Key Drivers'!K26*AI131</f>
        <v>813.284251247615</v>
      </c>
      <c r="AJ132" s="62" t="n">
        <f aca="false">'Key Drivers'!K26*AJ131</f>
        <v>767.740333177748</v>
      </c>
      <c r="AK132" s="62" t="n">
        <f aca="false">'Key Drivers'!K26*AK131</f>
        <v>724.746874519794</v>
      </c>
      <c r="AL132" s="62" t="n">
        <f aca="false">'Key Drivers'!L26*AL131</f>
        <v>659.72672634859</v>
      </c>
      <c r="AM132" s="62" t="n">
        <f aca="false">'Key Drivers'!L26*AM131</f>
        <v>624.101483125766</v>
      </c>
      <c r="AN132" s="62" t="n">
        <f aca="false">'Key Drivers'!L26*AN131</f>
        <v>590.400003036975</v>
      </c>
      <c r="AO132" s="62" t="n">
        <f aca="false">'Key Drivers'!L26*AO131</f>
        <v>558.518402872978</v>
      </c>
    </row>
    <row r="133" customFormat="false" ht="15" hidden="false" customHeight="false" outlineLevel="0" collapsed="false">
      <c r="C133" s="42" t="s">
        <v>579</v>
      </c>
      <c r="D133" s="63"/>
      <c r="E133" s="63"/>
      <c r="F133" s="73"/>
      <c r="G133" s="73"/>
      <c r="H133" s="64" t="n">
        <f aca="false">Y133</f>
        <v>25563.508125</v>
      </c>
      <c r="I133" s="64" t="n">
        <f aca="false">AC133</f>
        <v>19621.1224240819</v>
      </c>
      <c r="J133" s="64" t="n">
        <f aca="false">AG133</f>
        <v>15384.4629851622</v>
      </c>
      <c r="K133" s="64" t="n">
        <f aca="false">AK133</f>
        <v>12217.161599048</v>
      </c>
      <c r="L133" s="64" t="n">
        <f aca="false">AO133</f>
        <v>9784.41498366365</v>
      </c>
      <c r="N133" s="73"/>
      <c r="O133" s="73"/>
      <c r="P133" s="73"/>
      <c r="Q133" s="73"/>
      <c r="R133" s="73"/>
      <c r="S133" s="73"/>
      <c r="T133" s="73"/>
      <c r="U133" s="73"/>
      <c r="V133" s="43" t="n">
        <f aca="false">V131-V132</f>
        <v>33007</v>
      </c>
      <c r="W133" s="43" t="n">
        <f aca="false">W131-W132</f>
        <v>29877</v>
      </c>
      <c r="X133" s="64" t="n">
        <f aca="false">X131-X132</f>
        <v>27636.225</v>
      </c>
      <c r="Y133" s="64" t="n">
        <f aca="false">Y131-Y132</f>
        <v>25563.508125</v>
      </c>
      <c r="Z133" s="64" t="n">
        <f aca="false">Z131-Z132</f>
        <v>23927.443605</v>
      </c>
      <c r="AA133" s="64" t="n">
        <f aca="false">AA131-AA132</f>
        <v>22396.08721428</v>
      </c>
      <c r="AB133" s="64" t="n">
        <f aca="false">AB131-AB132</f>
        <v>20962.7376325661</v>
      </c>
      <c r="AC133" s="64" t="n">
        <f aca="false">AC131-AC132</f>
        <v>19621.1224240819</v>
      </c>
      <c r="AD133" s="64" t="n">
        <f aca="false">AD131-AD132</f>
        <v>18463.476201061</v>
      </c>
      <c r="AE133" s="64" t="n">
        <f aca="false">AE131-AE132</f>
        <v>17374.1311051984</v>
      </c>
      <c r="AF133" s="64" t="n">
        <f aca="false">AF131-AF132</f>
        <v>16349.0573699917</v>
      </c>
      <c r="AG133" s="64" t="n">
        <f aca="false">AG131-AG132</f>
        <v>15384.4629851622</v>
      </c>
      <c r="AH133" s="64" t="n">
        <f aca="false">AH131-AH132</f>
        <v>14522.9330579931</v>
      </c>
      <c r="AI133" s="64" t="n">
        <f aca="false">AI131-AI132</f>
        <v>13709.6488067455</v>
      </c>
      <c r="AJ133" s="64" t="n">
        <f aca="false">AJ131-AJ132</f>
        <v>12941.9084735678</v>
      </c>
      <c r="AK133" s="64" t="n">
        <f aca="false">AK131-AK132</f>
        <v>12217.161599048</v>
      </c>
      <c r="AL133" s="64" t="n">
        <f aca="false">AL131-AL132</f>
        <v>11557.4348726994</v>
      </c>
      <c r="AM133" s="64" t="n">
        <f aca="false">AM131-AM132</f>
        <v>10933.3333895736</v>
      </c>
      <c r="AN133" s="64" t="n">
        <f aca="false">AN131-AN132</f>
        <v>10342.9333865366</v>
      </c>
      <c r="AO133" s="64" t="n">
        <f aca="false">AO131-AO132</f>
        <v>9784.41498366365</v>
      </c>
    </row>
    <row r="134" customFormat="false" ht="15" hidden="false" customHeight="false" outlineLevel="0" collapsed="false">
      <c r="C134" s="40" t="s">
        <v>580</v>
      </c>
      <c r="D134" s="58"/>
      <c r="E134" s="58"/>
      <c r="F134" s="40"/>
      <c r="G134" s="40"/>
      <c r="H134" s="62" t="n">
        <f aca="false">SUM(V134:Y134)</f>
        <v>2686.55024025424</v>
      </c>
      <c r="I134" s="62" t="n">
        <f aca="false">SUM(Z134:AC134)</f>
        <v>8642.21952120984</v>
      </c>
      <c r="J134" s="62" t="n">
        <f aca="false">SUM(AD134:AG134)</f>
        <v>12596.3177918756</v>
      </c>
      <c r="K134" s="62" t="n">
        <f aca="false">SUM(AH134:AK134)</f>
        <v>15817.6130350609</v>
      </c>
      <c r="L134" s="62" t="n">
        <f aca="false">SUM(AL134:AO134)</f>
        <v>18502.7773647574</v>
      </c>
      <c r="N134" s="40"/>
      <c r="O134" s="40"/>
      <c r="P134" s="40"/>
      <c r="Q134" s="40"/>
      <c r="R134" s="40"/>
      <c r="S134" s="40"/>
      <c r="T134" s="40"/>
      <c r="U134" s="40"/>
      <c r="V134" s="41" t="n">
        <f aca="false">V91-V132</f>
        <v>0</v>
      </c>
      <c r="W134" s="41" t="n">
        <f aca="false">W91-W132</f>
        <v>0</v>
      </c>
      <c r="X134" s="62" t="n">
        <f aca="false">X91-X132</f>
        <v>1111.99069491525</v>
      </c>
      <c r="Y134" s="62" t="n">
        <f aca="false">Y91-Y132</f>
        <v>1574.55954533898</v>
      </c>
      <c r="Z134" s="62" t="n">
        <f aca="false">Z91-Z132</f>
        <v>1692.27814962373</v>
      </c>
      <c r="AA134" s="62" t="n">
        <f aca="false">AA91-AA132</f>
        <v>1959.44742109781</v>
      </c>
      <c r="AB134" s="62" t="n">
        <f aca="false">AB91-AB132</f>
        <v>2284.04824963755</v>
      </c>
      <c r="AC134" s="62" t="n">
        <f aca="false">AC91-AC132</f>
        <v>2706.44570085075</v>
      </c>
      <c r="AD134" s="62" t="n">
        <f aca="false">AD91-AD132</f>
        <v>2758.62878607362</v>
      </c>
      <c r="AE134" s="62" t="n">
        <f aca="false">AE91-AE132</f>
        <v>2968.64083141028</v>
      </c>
      <c r="AF134" s="62" t="n">
        <f aca="false">AF91-AF132</f>
        <v>3244.75625243157</v>
      </c>
      <c r="AG134" s="62" t="n">
        <f aca="false">AG91-AG132</f>
        <v>3624.29192196011</v>
      </c>
      <c r="AH134" s="62" t="n">
        <f aca="false">AH91-AH132</f>
        <v>3633.84062463298</v>
      </c>
      <c r="AI134" s="62" t="n">
        <f aca="false">AI91-AI132</f>
        <v>3794.63826693293</v>
      </c>
      <c r="AJ134" s="62" t="n">
        <f aca="false">AJ91-AJ132</f>
        <v>4026.13973325001</v>
      </c>
      <c r="AK134" s="62" t="n">
        <f aca="false">AK91-AK132</f>
        <v>4362.99441024493</v>
      </c>
      <c r="AL134" s="62" t="n">
        <f aca="false">AL91-AL132</f>
        <v>4351.72138647898</v>
      </c>
      <c r="AM134" s="62" t="n">
        <f aca="false">AM91-AM132</f>
        <v>4479.12184497791</v>
      </c>
      <c r="AN134" s="62" t="n">
        <f aca="false">AN91-AN132</f>
        <v>4681.10102119195</v>
      </c>
      <c r="AO134" s="62" t="n">
        <f aca="false">AO91-AO132</f>
        <v>4990.83311210853</v>
      </c>
    </row>
    <row r="135" customFormat="false" ht="15" hidden="false" customHeight="false" outlineLevel="0" collapsed="false">
      <c r="C135" s="46" t="s">
        <v>581</v>
      </c>
      <c r="D135" s="58"/>
      <c r="E135" s="58"/>
      <c r="F135" s="40"/>
      <c r="G135" s="40"/>
      <c r="H135" s="66" t="n">
        <f aca="false">H132/H91</f>
        <v>0.787305733308438</v>
      </c>
      <c r="I135" s="66" t="n">
        <f aca="false">I132/I91</f>
        <v>0.4074423414562</v>
      </c>
      <c r="J135" s="66" t="n">
        <f aca="false">J132/J91</f>
        <v>0.251688063307592</v>
      </c>
      <c r="K135" s="66" t="n">
        <f aca="false">K132/K91</f>
        <v>0.16683253428741</v>
      </c>
      <c r="L135" s="66" t="n">
        <f aca="false">L132/L91</f>
        <v>0.116201849912707</v>
      </c>
      <c r="N135" s="40"/>
      <c r="O135" s="40"/>
      <c r="P135" s="40"/>
      <c r="Q135" s="40"/>
      <c r="R135" s="40"/>
      <c r="S135" s="40"/>
      <c r="T135" s="40"/>
      <c r="U135" s="40"/>
      <c r="V135" s="65" t="n">
        <f aca="false">V132/V91</f>
        <v>1</v>
      </c>
      <c r="W135" s="65" t="n">
        <f aca="false">W132/W91</f>
        <v>1</v>
      </c>
      <c r="X135" s="66" t="n">
        <f aca="false">X132/X91</f>
        <v>0.668336294241593</v>
      </c>
      <c r="Y135" s="66" t="n">
        <f aca="false">Y132/Y91</f>
        <v>0.568291688406594</v>
      </c>
      <c r="Z135" s="66" t="n">
        <f aca="false">Z132/Z91</f>
        <v>0.491555312177324</v>
      </c>
      <c r="AA135" s="66" t="n">
        <f aca="false">AA132/AA91</f>
        <v>0.43868302925983</v>
      </c>
      <c r="AB135" s="66" t="n">
        <f aca="false">AB132/AB91</f>
        <v>0.385578742642356</v>
      </c>
      <c r="AC135" s="66" t="n">
        <f aca="false">AC132/AC91</f>
        <v>0.331421695110964</v>
      </c>
      <c r="AD135" s="66" t="n">
        <f aca="false">AD132/AD91</f>
        <v>0.295598807625236</v>
      </c>
      <c r="AE135" s="66" t="n">
        <f aca="false">AE132/AE91</f>
        <v>0.268444769249035</v>
      </c>
      <c r="AF135" s="66" t="n">
        <f aca="false">AF132/AF91</f>
        <v>0.240073665268742</v>
      </c>
      <c r="AG135" s="66" t="n">
        <f aca="false">AG132/AG91</f>
        <v>0.210202284463295</v>
      </c>
      <c r="AH135" s="66" t="n">
        <f aca="false">AH132/AH91</f>
        <v>0.191648256187406</v>
      </c>
      <c r="AI135" s="66" t="n">
        <f aca="false">AI132/AI91</f>
        <v>0.176496945866343</v>
      </c>
      <c r="AJ135" s="66" t="n">
        <f aca="false">AJ132/AJ91</f>
        <v>0.160150091896196</v>
      </c>
      <c r="AK135" s="66" t="n">
        <f aca="false">AK132/AK91</f>
        <v>0.142449632156032</v>
      </c>
      <c r="AL135" s="66" t="n">
        <f aca="false">AL132/AL91</f>
        <v>0.131643930356162</v>
      </c>
      <c r="AM135" s="66" t="n">
        <f aca="false">AM132/AM91</f>
        <v>0.122295545971663</v>
      </c>
      <c r="AN135" s="66" t="n">
        <f aca="false">AN132/AN91</f>
        <v>0.111998461220698</v>
      </c>
      <c r="AO135" s="66" t="n">
        <f aca="false">AO132/AO91</f>
        <v>0.100645706325352</v>
      </c>
    </row>
    <row r="137" customFormat="false" ht="15" hidden="false" customHeight="false" outlineLevel="0" collapsed="false">
      <c r="C137" s="48" t="s">
        <v>582</v>
      </c>
      <c r="D137" s="58"/>
      <c r="E137" s="58"/>
    </row>
    <row r="138" customFormat="false" ht="15" hidden="false" customHeight="false" outlineLevel="0" collapsed="false">
      <c r="C138" s="40" t="s">
        <v>583</v>
      </c>
      <c r="D138" s="58"/>
      <c r="E138" s="58"/>
      <c r="F138" s="40"/>
      <c r="G138" s="40"/>
      <c r="H138" s="62" t="n">
        <f aca="false">H114*H67</f>
        <v>9347.4304</v>
      </c>
      <c r="I138" s="62" t="n">
        <f aca="false">I114*I67</f>
        <v>12605.1505901942</v>
      </c>
      <c r="J138" s="62" t="n">
        <f aca="false">J114*J67</f>
        <v>2558.94748623458</v>
      </c>
      <c r="K138" s="62" t="n">
        <f aca="false">K114*K67</f>
        <v>0</v>
      </c>
      <c r="L138" s="62" t="n">
        <f aca="false">L114*L67</f>
        <v>0</v>
      </c>
      <c r="N138" s="40"/>
      <c r="O138" s="40"/>
      <c r="P138" s="40"/>
      <c r="Q138" s="40"/>
      <c r="R138" s="40"/>
      <c r="S138" s="40"/>
      <c r="T138" s="40"/>
      <c r="U138" s="40"/>
      <c r="V138" s="41" t="n">
        <f aca="false">V114*V67</f>
        <v>1885</v>
      </c>
      <c r="W138" s="41" t="n">
        <f aca="false">W114*W67</f>
        <v>1965</v>
      </c>
      <c r="X138" s="62" t="n">
        <f aca="false">X114*X67</f>
        <v>2461.536</v>
      </c>
      <c r="Y138" s="62" t="n">
        <f aca="false">Y114*Y67</f>
        <v>3035.8944</v>
      </c>
      <c r="Z138" s="62" t="n">
        <f aca="false">Z114*Z67</f>
        <v>2964.5508816</v>
      </c>
      <c r="AA138" s="62" t="n">
        <f aca="false">AA114*AA67</f>
        <v>3107.79798019891</v>
      </c>
      <c r="AB138" s="62" t="n">
        <f aca="false">AB114*AB67</f>
        <v>3192.90383257975</v>
      </c>
      <c r="AC138" s="62" t="n">
        <f aca="false">AC114*AC67</f>
        <v>3339.89789581549</v>
      </c>
      <c r="AD138" s="62" t="n">
        <f aca="false">AD114*AD67</f>
        <v>2531.49895350574</v>
      </c>
      <c r="AE138" s="62" t="n">
        <f aca="false">AE114*AE67</f>
        <v>0</v>
      </c>
      <c r="AF138" s="62" t="n">
        <f aca="false">AF114*AF67</f>
        <v>0</v>
      </c>
      <c r="AG138" s="62" t="n">
        <f aca="false">AG114*AG67</f>
        <v>0</v>
      </c>
      <c r="AH138" s="62" t="n">
        <f aca="false">AH114*AH67</f>
        <v>0</v>
      </c>
      <c r="AI138" s="62" t="n">
        <f aca="false">AI114*AI67</f>
        <v>0</v>
      </c>
      <c r="AJ138" s="62" t="n">
        <f aca="false">AJ114*AJ67</f>
        <v>0</v>
      </c>
      <c r="AK138" s="62" t="n">
        <f aca="false">AK114*AK67</f>
        <v>0</v>
      </c>
      <c r="AL138" s="62" t="n">
        <f aca="false">AL114*AL67</f>
        <v>0</v>
      </c>
      <c r="AM138" s="62" t="n">
        <f aca="false">AM114*AM67</f>
        <v>0</v>
      </c>
      <c r="AN138" s="62" t="n">
        <f aca="false">AN114*AN67</f>
        <v>0</v>
      </c>
      <c r="AO138" s="62" t="n">
        <f aca="false">AO114*AO67</f>
        <v>0</v>
      </c>
    </row>
    <row r="139" customFormat="false" ht="15" hidden="false" customHeight="false" outlineLevel="0" collapsed="false">
      <c r="C139" s="40" t="s">
        <v>584</v>
      </c>
      <c r="D139" s="58"/>
      <c r="E139" s="58"/>
      <c r="F139" s="40"/>
      <c r="G139" s="40"/>
      <c r="H139" s="62" t="n">
        <f aca="false">H132</f>
        <v>9944.491875</v>
      </c>
      <c r="I139" s="62" t="n">
        <f aca="false">I132</f>
        <v>5942.38570091815</v>
      </c>
      <c r="J139" s="62" t="n">
        <f aca="false">J132</f>
        <v>4236.65943891965</v>
      </c>
      <c r="K139" s="62" t="n">
        <f aca="false">K132</f>
        <v>3167.30138611424</v>
      </c>
      <c r="L139" s="62" t="n">
        <f aca="false">L132</f>
        <v>2432.74661538431</v>
      </c>
      <c r="N139" s="40"/>
      <c r="O139" s="40"/>
      <c r="P139" s="40"/>
      <c r="Q139" s="40"/>
      <c r="R139" s="40"/>
      <c r="S139" s="40"/>
      <c r="T139" s="40"/>
      <c r="U139" s="40"/>
      <c r="V139" s="41" t="n">
        <f aca="false">V132</f>
        <v>2501</v>
      </c>
      <c r="W139" s="41" t="n">
        <f aca="false">W132</f>
        <v>3130</v>
      </c>
      <c r="X139" s="62" t="n">
        <f aca="false">X132</f>
        <v>2240.775</v>
      </c>
      <c r="Y139" s="62" t="n">
        <f aca="false">Y132</f>
        <v>2072.716875</v>
      </c>
      <c r="Z139" s="62" t="n">
        <f aca="false">Z132</f>
        <v>1636.06452</v>
      </c>
      <c r="AA139" s="62" t="n">
        <f aca="false">AA132</f>
        <v>1531.35639072</v>
      </c>
      <c r="AB139" s="62" t="n">
        <f aca="false">AB132</f>
        <v>1433.34958171392</v>
      </c>
      <c r="AC139" s="62" t="n">
        <f aca="false">AC132</f>
        <v>1341.61520848423</v>
      </c>
      <c r="AD139" s="62" t="n">
        <f aca="false">AD132</f>
        <v>1157.64622302083</v>
      </c>
      <c r="AE139" s="62" t="n">
        <f aca="false">AE132</f>
        <v>1089.3450958626</v>
      </c>
      <c r="AF139" s="62" t="n">
        <f aca="false">AF132</f>
        <v>1025.07373520671</v>
      </c>
      <c r="AG139" s="62" t="n">
        <f aca="false">AG132</f>
        <v>964.594384829511</v>
      </c>
      <c r="AH139" s="62" t="n">
        <f aca="false">AH132</f>
        <v>861.529927169083</v>
      </c>
      <c r="AI139" s="62" t="n">
        <f aca="false">AI132</f>
        <v>813.284251247615</v>
      </c>
      <c r="AJ139" s="62" t="n">
        <f aca="false">AJ132</f>
        <v>767.740333177748</v>
      </c>
      <c r="AK139" s="62" t="n">
        <f aca="false">AK132</f>
        <v>724.746874519794</v>
      </c>
      <c r="AL139" s="62" t="n">
        <f aca="false">AL132</f>
        <v>659.72672634859</v>
      </c>
      <c r="AM139" s="62" t="n">
        <f aca="false">AM132</f>
        <v>624.101483125766</v>
      </c>
      <c r="AN139" s="62" t="n">
        <f aca="false">AN132</f>
        <v>590.400003036975</v>
      </c>
      <c r="AO139" s="62" t="n">
        <f aca="false">AO132</f>
        <v>558.518402872978</v>
      </c>
    </row>
    <row r="140" customFormat="false" ht="15" hidden="false" customHeight="false" outlineLevel="0" collapsed="false">
      <c r="C140" s="42" t="s">
        <v>585</v>
      </c>
      <c r="D140" s="63"/>
      <c r="E140" s="63"/>
      <c r="F140" s="73"/>
      <c r="G140" s="73"/>
      <c r="H140" s="64" t="n">
        <f aca="false">H138+H139</f>
        <v>19291.922275</v>
      </c>
      <c r="I140" s="64" t="n">
        <f aca="false">I138+I139</f>
        <v>18547.5362911123</v>
      </c>
      <c r="J140" s="64" t="n">
        <f aca="false">J138+J139</f>
        <v>6795.60692515422</v>
      </c>
      <c r="K140" s="64" t="n">
        <f aca="false">K138+K139</f>
        <v>3167.30138611424</v>
      </c>
      <c r="L140" s="64" t="n">
        <f aca="false">L138+L139</f>
        <v>2432.74661538431</v>
      </c>
      <c r="N140" s="73"/>
      <c r="O140" s="73"/>
      <c r="P140" s="73"/>
      <c r="Q140" s="73"/>
      <c r="R140" s="73"/>
      <c r="S140" s="73"/>
      <c r="T140" s="73"/>
      <c r="U140" s="73"/>
      <c r="V140" s="43" t="n">
        <f aca="false">V138+V139</f>
        <v>4386</v>
      </c>
      <c r="W140" s="43" t="n">
        <f aca="false">W138+W139</f>
        <v>5095</v>
      </c>
      <c r="X140" s="64" t="n">
        <f aca="false">X138+X139</f>
        <v>4702.311</v>
      </c>
      <c r="Y140" s="64" t="n">
        <f aca="false">Y138+Y139</f>
        <v>5108.611275</v>
      </c>
      <c r="Z140" s="64" t="n">
        <f aca="false">Z138+Z139</f>
        <v>4600.6154016</v>
      </c>
      <c r="AA140" s="64" t="n">
        <f aca="false">AA138+AA139</f>
        <v>4639.15437091891</v>
      </c>
      <c r="AB140" s="64" t="n">
        <f aca="false">AB138+AB139</f>
        <v>4626.25341429367</v>
      </c>
      <c r="AC140" s="64" t="n">
        <f aca="false">AC138+AC139</f>
        <v>4681.51310429972</v>
      </c>
      <c r="AD140" s="64" t="n">
        <f aca="false">AD138+AD139</f>
        <v>3689.14517652657</v>
      </c>
      <c r="AE140" s="64" t="n">
        <f aca="false">AE138+AE139</f>
        <v>1089.3450958626</v>
      </c>
      <c r="AF140" s="64" t="n">
        <f aca="false">AF138+AF139</f>
        <v>1025.07373520671</v>
      </c>
      <c r="AG140" s="64" t="n">
        <f aca="false">AG138+AG139</f>
        <v>964.594384829511</v>
      </c>
      <c r="AH140" s="64" t="n">
        <f aca="false">AH138+AH139</f>
        <v>861.529927169083</v>
      </c>
      <c r="AI140" s="64" t="n">
        <f aca="false">AI138+AI139</f>
        <v>813.284251247615</v>
      </c>
      <c r="AJ140" s="64" t="n">
        <f aca="false">AJ138+AJ139</f>
        <v>767.740333177748</v>
      </c>
      <c r="AK140" s="64" t="n">
        <f aca="false">AK138+AK139</f>
        <v>724.746874519794</v>
      </c>
      <c r="AL140" s="64" t="n">
        <f aca="false">AL138+AL139</f>
        <v>659.72672634859</v>
      </c>
      <c r="AM140" s="64" t="n">
        <f aca="false">AM138+AM139</f>
        <v>624.101483125766</v>
      </c>
      <c r="AN140" s="64" t="n">
        <f aca="false">AN138+AN139</f>
        <v>590.400003036975</v>
      </c>
      <c r="AO140" s="64" t="n">
        <f aca="false">AO138+AO139</f>
        <v>558.518402872978</v>
      </c>
    </row>
    <row r="141" customFormat="false" ht="15" hidden="false" customHeight="false" outlineLevel="0" collapsed="false">
      <c r="C141" s="40" t="s">
        <v>586</v>
      </c>
      <c r="D141" s="58"/>
      <c r="E141" s="58" t="s">
        <v>587</v>
      </c>
      <c r="F141" s="40"/>
      <c r="G141" s="40"/>
      <c r="H141" s="62" t="n">
        <f aca="false">H122*H67</f>
        <v>0</v>
      </c>
      <c r="I141" s="62" t="n">
        <f aca="false">I122*I67</f>
        <v>0</v>
      </c>
      <c r="J141" s="62" t="n">
        <f aca="false">J122*J67</f>
        <v>12116.7825127419</v>
      </c>
      <c r="K141" s="62" t="n">
        <f aca="false">K122*K67</f>
        <v>16886.7761147083</v>
      </c>
      <c r="L141" s="62" t="n">
        <f aca="false">L122*L67</f>
        <v>0</v>
      </c>
      <c r="N141" s="40"/>
      <c r="O141" s="40"/>
      <c r="P141" s="40"/>
      <c r="Q141" s="40"/>
      <c r="R141" s="40"/>
      <c r="S141" s="40"/>
      <c r="T141" s="40"/>
      <c r="U141" s="40"/>
      <c r="V141" s="41" t="n">
        <f aca="false">V122*V67</f>
        <v>0</v>
      </c>
      <c r="W141" s="41" t="n">
        <f aca="false">W122*W67</f>
        <v>0</v>
      </c>
      <c r="X141" s="62" t="n">
        <f aca="false">X122*X67</f>
        <v>0</v>
      </c>
      <c r="Y141" s="62" t="n">
        <f aca="false">Y122*Y67</f>
        <v>0</v>
      </c>
      <c r="Z141" s="62" t="n">
        <f aca="false">Z122*Z67</f>
        <v>0</v>
      </c>
      <c r="AA141" s="62" t="n">
        <f aca="false">AA122*AA67</f>
        <v>0</v>
      </c>
      <c r="AB141" s="62" t="n">
        <f aca="false">AB122*AB67</f>
        <v>0</v>
      </c>
      <c r="AC141" s="62" t="n">
        <f aca="false">AC122*AC67</f>
        <v>0</v>
      </c>
      <c r="AD141" s="62" t="n">
        <f aca="false">AD122*AD67</f>
        <v>916.599880827796</v>
      </c>
      <c r="AE141" s="62" t="n">
        <f aca="false">AE122*AE67</f>
        <v>3594.06835165366</v>
      </c>
      <c r="AF141" s="62" t="n">
        <f aca="false">AF122*AF67</f>
        <v>3741.91248537337</v>
      </c>
      <c r="AG141" s="62" t="n">
        <f aca="false">AG122*AG67</f>
        <v>3891.65032761594</v>
      </c>
      <c r="AH141" s="62" t="n">
        <f aca="false">AH122*AH67</f>
        <v>3977.14309036864</v>
      </c>
      <c r="AI141" s="62" t="n">
        <f aca="false">AI122*AI67</f>
        <v>4157.29524379019</v>
      </c>
      <c r="AJ141" s="62" t="n">
        <f aca="false">AJ122*AJ67</f>
        <v>4308.02063977181</v>
      </c>
      <c r="AK141" s="62" t="n">
        <f aca="false">AK122*AK67</f>
        <v>4443.90034123305</v>
      </c>
      <c r="AL141" s="62" t="n">
        <f aca="false">AL122*AL67</f>
        <v>0</v>
      </c>
      <c r="AM141" s="62" t="n">
        <f aca="false">AM122*AM67</f>
        <v>0</v>
      </c>
      <c r="AN141" s="62" t="n">
        <f aca="false">AN122*AN67</f>
        <v>0</v>
      </c>
      <c r="AO141" s="62" t="n">
        <f aca="false">AO122*AO67</f>
        <v>0</v>
      </c>
    </row>
    <row r="142" customFormat="false" ht="15" hidden="false" customHeight="false" outlineLevel="0" collapsed="false">
      <c r="C142" s="40" t="s">
        <v>588</v>
      </c>
      <c r="D142" s="58"/>
      <c r="E142" s="58" t="s">
        <v>589</v>
      </c>
      <c r="F142" s="40"/>
      <c r="G142" s="40"/>
      <c r="H142" s="62" t="n">
        <f aca="false">H125*H67</f>
        <v>0</v>
      </c>
      <c r="I142" s="62" t="n">
        <f aca="false">I125*I67</f>
        <v>0</v>
      </c>
      <c r="J142" s="62" t="n">
        <f aca="false">J125*J67</f>
        <v>0</v>
      </c>
      <c r="K142" s="62" t="n">
        <f aca="false">K125*K67</f>
        <v>47.7220156653078</v>
      </c>
      <c r="L142" s="62" t="n">
        <f aca="false">L125*L67</f>
        <v>19222.0871206199</v>
      </c>
      <c r="N142" s="40"/>
      <c r="O142" s="40"/>
      <c r="P142" s="40"/>
      <c r="Q142" s="40"/>
      <c r="R142" s="40"/>
      <c r="S142" s="40"/>
      <c r="T142" s="40"/>
      <c r="U142" s="40"/>
      <c r="V142" s="41" t="n">
        <f aca="false">V125*V67</f>
        <v>0</v>
      </c>
      <c r="W142" s="41" t="n">
        <f aca="false">W125*W67</f>
        <v>0</v>
      </c>
      <c r="X142" s="62" t="n">
        <f aca="false">X125*X67</f>
        <v>0</v>
      </c>
      <c r="Y142" s="62" t="n">
        <f aca="false">Y125*Y67</f>
        <v>0</v>
      </c>
      <c r="Z142" s="62" t="n">
        <f aca="false">Z125*Z67</f>
        <v>0</v>
      </c>
      <c r="AA142" s="62" t="n">
        <f aca="false">AA125*AA67</f>
        <v>0</v>
      </c>
      <c r="AB142" s="62" t="n">
        <f aca="false">AB125*AB67</f>
        <v>0</v>
      </c>
      <c r="AC142" s="62" t="n">
        <f aca="false">AC125*AC67</f>
        <v>0</v>
      </c>
      <c r="AD142" s="62" t="n">
        <f aca="false">AD125*AD67</f>
        <v>0</v>
      </c>
      <c r="AE142" s="62" t="n">
        <f aca="false">AE125*AE67</f>
        <v>0</v>
      </c>
      <c r="AF142" s="62" t="n">
        <f aca="false">AF125*AF67</f>
        <v>0</v>
      </c>
      <c r="AG142" s="62" t="n">
        <f aca="false">AG125*AG67</f>
        <v>0</v>
      </c>
      <c r="AH142" s="62" t="n">
        <f aca="false">AH125*AH67</f>
        <v>0</v>
      </c>
      <c r="AI142" s="62" t="n">
        <f aca="false">AI125*AI67</f>
        <v>0</v>
      </c>
      <c r="AJ142" s="62" t="n">
        <f aca="false">AJ125*AJ67</f>
        <v>0</v>
      </c>
      <c r="AK142" s="62" t="n">
        <f aca="false">AK125*AK67</f>
        <v>48.1388152098945</v>
      </c>
      <c r="AL142" s="62" t="n">
        <f aca="false">AL125*AL67</f>
        <v>4578.08385014382</v>
      </c>
      <c r="AM142" s="62" t="n">
        <f aca="false">AM125*AM67</f>
        <v>4728.77911021105</v>
      </c>
      <c r="AN142" s="62" t="n">
        <f aca="false">AN125*AN67</f>
        <v>4880.8668707827</v>
      </c>
      <c r="AO142" s="62" t="n">
        <f aca="false">AO125*AO67</f>
        <v>5034.35728948232</v>
      </c>
    </row>
    <row r="143" customFormat="false" ht="15" hidden="false" customHeight="false" outlineLevel="0" collapsed="false">
      <c r="C143" s="40" t="s">
        <v>590</v>
      </c>
      <c r="D143" s="58"/>
      <c r="E143" s="58" t="s">
        <v>591</v>
      </c>
      <c r="F143" s="40"/>
      <c r="G143" s="40"/>
      <c r="H143" s="62" t="n">
        <f aca="false">H134</f>
        <v>2686.55024025424</v>
      </c>
      <c r="I143" s="62" t="n">
        <f aca="false">I134</f>
        <v>8642.21952120984</v>
      </c>
      <c r="J143" s="62" t="n">
        <f aca="false">J134</f>
        <v>12596.3177918756</v>
      </c>
      <c r="K143" s="62" t="n">
        <f aca="false">K134</f>
        <v>15817.6130350609</v>
      </c>
      <c r="L143" s="62" t="n">
        <f aca="false">L134</f>
        <v>18502.7773647574</v>
      </c>
      <c r="N143" s="40"/>
      <c r="O143" s="40"/>
      <c r="P143" s="40"/>
      <c r="Q143" s="40"/>
      <c r="R143" s="40"/>
      <c r="S143" s="40"/>
      <c r="T143" s="40"/>
      <c r="U143" s="40"/>
      <c r="V143" s="41" t="n">
        <f aca="false">V134</f>
        <v>0</v>
      </c>
      <c r="W143" s="41" t="n">
        <f aca="false">W134</f>
        <v>0</v>
      </c>
      <c r="X143" s="62" t="n">
        <f aca="false">X134</f>
        <v>1111.99069491525</v>
      </c>
      <c r="Y143" s="62" t="n">
        <f aca="false">Y134</f>
        <v>1574.55954533898</v>
      </c>
      <c r="Z143" s="62" t="n">
        <f aca="false">Z134</f>
        <v>1692.27814962373</v>
      </c>
      <c r="AA143" s="62" t="n">
        <f aca="false">AA134</f>
        <v>1959.44742109781</v>
      </c>
      <c r="AB143" s="62" t="n">
        <f aca="false">AB134</f>
        <v>2284.04824963755</v>
      </c>
      <c r="AC143" s="62" t="n">
        <f aca="false">AC134</f>
        <v>2706.44570085075</v>
      </c>
      <c r="AD143" s="62" t="n">
        <f aca="false">AD134</f>
        <v>2758.62878607362</v>
      </c>
      <c r="AE143" s="62" t="n">
        <f aca="false">AE134</f>
        <v>2968.64083141028</v>
      </c>
      <c r="AF143" s="62" t="n">
        <f aca="false">AF134</f>
        <v>3244.75625243157</v>
      </c>
      <c r="AG143" s="62" t="n">
        <f aca="false">AG134</f>
        <v>3624.29192196011</v>
      </c>
      <c r="AH143" s="62" t="n">
        <f aca="false">AH134</f>
        <v>3633.84062463298</v>
      </c>
      <c r="AI143" s="62" t="n">
        <f aca="false">AI134</f>
        <v>3794.63826693293</v>
      </c>
      <c r="AJ143" s="62" t="n">
        <f aca="false">AJ134</f>
        <v>4026.13973325001</v>
      </c>
      <c r="AK143" s="62" t="n">
        <f aca="false">AK134</f>
        <v>4362.99441024493</v>
      </c>
      <c r="AL143" s="62" t="n">
        <f aca="false">AL134</f>
        <v>4351.72138647898</v>
      </c>
      <c r="AM143" s="62" t="n">
        <f aca="false">AM134</f>
        <v>4479.12184497791</v>
      </c>
      <c r="AN143" s="62" t="n">
        <f aca="false">AN134</f>
        <v>4681.10102119195</v>
      </c>
      <c r="AO143" s="62" t="n">
        <f aca="false">AO134</f>
        <v>4990.83311210853</v>
      </c>
    </row>
    <row r="144" customFormat="false" ht="15" hidden="false" customHeight="false" outlineLevel="0" collapsed="false">
      <c r="C144" s="42" t="s">
        <v>592</v>
      </c>
      <c r="D144" s="63"/>
      <c r="E144" s="63"/>
      <c r="F144" s="73"/>
      <c r="G144" s="73"/>
      <c r="H144" s="64" t="n">
        <f aca="false">H141+H142+H143</f>
        <v>2686.55024025424</v>
      </c>
      <c r="I144" s="64" t="n">
        <f aca="false">I141+I142+I143</f>
        <v>8642.21952120984</v>
      </c>
      <c r="J144" s="64" t="n">
        <f aca="false">J141+J142+J143</f>
        <v>24713.1003046175</v>
      </c>
      <c r="K144" s="64" t="n">
        <f aca="false">K141+K142+K143</f>
        <v>32752.1111654344</v>
      </c>
      <c r="L144" s="64" t="n">
        <f aca="false">L141+L142+L143</f>
        <v>37724.8644853773</v>
      </c>
      <c r="N144" s="73"/>
      <c r="O144" s="73"/>
      <c r="P144" s="73"/>
      <c r="Q144" s="73"/>
      <c r="R144" s="73"/>
      <c r="S144" s="73"/>
      <c r="T144" s="73"/>
      <c r="U144" s="73"/>
      <c r="V144" s="43" t="n">
        <f aca="false">V141+V142+V143</f>
        <v>0</v>
      </c>
      <c r="W144" s="43" t="n">
        <f aca="false">W141+W142+W143</f>
        <v>0</v>
      </c>
      <c r="X144" s="64" t="n">
        <f aca="false">X141+X142+X143</f>
        <v>1111.99069491525</v>
      </c>
      <c r="Y144" s="64" t="n">
        <f aca="false">Y141+Y142+Y143</f>
        <v>1574.55954533898</v>
      </c>
      <c r="Z144" s="64" t="n">
        <f aca="false">Z141+Z142+Z143</f>
        <v>1692.27814962373</v>
      </c>
      <c r="AA144" s="64" t="n">
        <f aca="false">AA141+AA142+AA143</f>
        <v>1959.44742109781</v>
      </c>
      <c r="AB144" s="64" t="n">
        <f aca="false">AB141+AB142+AB143</f>
        <v>2284.04824963755</v>
      </c>
      <c r="AC144" s="64" t="n">
        <f aca="false">AC141+AC142+AC143</f>
        <v>2706.44570085075</v>
      </c>
      <c r="AD144" s="64" t="n">
        <f aca="false">AD141+AD142+AD143</f>
        <v>3675.22866690142</v>
      </c>
      <c r="AE144" s="64" t="n">
        <f aca="false">AE141+AE142+AE143</f>
        <v>6562.70918306393</v>
      </c>
      <c r="AF144" s="64" t="n">
        <f aca="false">AF141+AF142+AF143</f>
        <v>6986.66873780494</v>
      </c>
      <c r="AG144" s="64" t="n">
        <f aca="false">AG141+AG142+AG143</f>
        <v>7515.94224957605</v>
      </c>
      <c r="AH144" s="64" t="n">
        <f aca="false">AH141+AH142+AH143</f>
        <v>7610.98371500163</v>
      </c>
      <c r="AI144" s="64" t="n">
        <f aca="false">AI141+AI142+AI143</f>
        <v>7951.93351072312</v>
      </c>
      <c r="AJ144" s="64" t="n">
        <f aca="false">AJ141+AJ142+AJ143</f>
        <v>8334.16037302182</v>
      </c>
      <c r="AK144" s="64" t="n">
        <f aca="false">AK141+AK142+AK143</f>
        <v>8855.03356668787</v>
      </c>
      <c r="AL144" s="64" t="n">
        <f aca="false">AL141+AL142+AL143</f>
        <v>8929.80523662279</v>
      </c>
      <c r="AM144" s="64" t="n">
        <f aca="false">AM141+AM142+AM143</f>
        <v>9207.90095518896</v>
      </c>
      <c r="AN144" s="64" t="n">
        <f aca="false">AN141+AN142+AN143</f>
        <v>9561.96789197465</v>
      </c>
      <c r="AO144" s="64" t="n">
        <f aca="false">AO141+AO142+AO143</f>
        <v>10025.1904015908</v>
      </c>
    </row>
    <row r="145" customFormat="false" ht="15" hidden="false" customHeight="false" outlineLevel="0" collapsed="false">
      <c r="C145" s="40" t="s">
        <v>593</v>
      </c>
      <c r="D145" s="58"/>
      <c r="E145" s="58"/>
      <c r="F145" s="40"/>
      <c r="G145" s="40"/>
      <c r="H145" s="62" t="n">
        <f aca="false">H73+H98</f>
        <v>16214.16</v>
      </c>
      <c r="I145" s="62" t="n">
        <f aca="false">I73+I98</f>
        <v>17024.868</v>
      </c>
      <c r="J145" s="62" t="n">
        <f aca="false">J73+J98</f>
        <v>17802.44151</v>
      </c>
      <c r="K145" s="62" t="n">
        <f aca="false">K73+K98</f>
        <v>18538.5935154</v>
      </c>
      <c r="L145" s="62" t="n">
        <f aca="false">L73+L98</f>
        <v>19305.394318266</v>
      </c>
      <c r="N145" s="40"/>
      <c r="O145" s="40"/>
      <c r="P145" s="40"/>
      <c r="Q145" s="40"/>
      <c r="R145" s="40"/>
      <c r="S145" s="40"/>
      <c r="T145" s="40"/>
      <c r="U145" s="40"/>
      <c r="V145" s="41" t="n">
        <f aca="false">V73+V98</f>
        <v>3544</v>
      </c>
      <c r="W145" s="41" t="n">
        <f aca="false">W73+W98</f>
        <v>4019</v>
      </c>
      <c r="X145" s="62" t="n">
        <f aca="false">X73+X98</f>
        <v>3887.015</v>
      </c>
      <c r="Y145" s="62" t="n">
        <f aca="false">Y73+Y98</f>
        <v>4764.145</v>
      </c>
      <c r="Z145" s="62" t="n">
        <f aca="false">Z73+Z98</f>
        <v>3721.2</v>
      </c>
      <c r="AA145" s="62" t="n">
        <f aca="false">AA73+AA98</f>
        <v>4219.95</v>
      </c>
      <c r="AB145" s="62" t="n">
        <f aca="false">AB73+AB98</f>
        <v>4081.36575</v>
      </c>
      <c r="AC145" s="62" t="n">
        <f aca="false">AC73+AC98</f>
        <v>5002.35225</v>
      </c>
      <c r="AD145" s="62" t="n">
        <f aca="false">AD73+AD98</f>
        <v>3891.0585</v>
      </c>
      <c r="AE145" s="62" t="n">
        <f aca="false">AE73+AE98</f>
        <v>4412.5095</v>
      </c>
      <c r="AF145" s="62" t="n">
        <f aca="false">AF73+AF98</f>
        <v>4267.90462875</v>
      </c>
      <c r="AG145" s="62" t="n">
        <f aca="false">AG73+AG98</f>
        <v>5230.96888125</v>
      </c>
      <c r="AH145" s="62" t="n">
        <f aca="false">AH73+AH98</f>
        <v>4051.75029</v>
      </c>
      <c r="AI145" s="62" t="n">
        <f aca="false">AI73+AI98</f>
        <v>4594.599555</v>
      </c>
      <c r="AJ145" s="62" t="n">
        <f aca="false">AJ73+AJ98</f>
        <v>4444.6633959</v>
      </c>
      <c r="AK145" s="62" t="n">
        <f aca="false">AK73+AK98</f>
        <v>5447.5802745</v>
      </c>
      <c r="AL145" s="62" t="n">
        <f aca="false">AL73+AL98</f>
        <v>4219.1222241</v>
      </c>
      <c r="AM145" s="62" t="n">
        <f aca="false">AM73+AM98</f>
        <v>4784.25269595</v>
      </c>
      <c r="AN145" s="62" t="n">
        <f aca="false">AN73+AN98</f>
        <v>4628.794642836</v>
      </c>
      <c r="AO145" s="62" t="n">
        <f aca="false">AO73+AO98</f>
        <v>5673.22475538</v>
      </c>
    </row>
    <row r="146" customFormat="false" ht="15" hidden="false" customHeight="false" outlineLevel="0" collapsed="false">
      <c r="C146" s="40" t="s">
        <v>594</v>
      </c>
      <c r="D146" s="58"/>
      <c r="E146" s="58"/>
      <c r="F146" s="40"/>
      <c r="G146" s="40"/>
      <c r="H146" s="62" t="n">
        <f aca="false">H105+H107</f>
        <v>8031.77826086957</v>
      </c>
      <c r="I146" s="62" t="n">
        <f aca="false">I105+I107</f>
        <v>6894.29460652174</v>
      </c>
      <c r="J146" s="62" t="n">
        <f aca="false">J105+J107</f>
        <v>6442.11898943478</v>
      </c>
      <c r="K146" s="62" t="n">
        <f aca="false">K105+K107</f>
        <v>6327.13124701565</v>
      </c>
      <c r="L146" s="62" t="n">
        <f aca="false">L105+L107</f>
        <v>6443.14753696581</v>
      </c>
      <c r="N146" s="40"/>
      <c r="O146" s="40"/>
      <c r="P146" s="40"/>
      <c r="Q146" s="40"/>
      <c r="R146" s="40"/>
      <c r="S146" s="40"/>
      <c r="T146" s="40"/>
      <c r="U146" s="40"/>
      <c r="V146" s="41" t="n">
        <f aca="false">V105+V107</f>
        <v>1432</v>
      </c>
      <c r="W146" s="41" t="n">
        <f aca="false">W105+W107</f>
        <v>2026</v>
      </c>
      <c r="X146" s="62" t="n">
        <f aca="false">X105+X107</f>
        <v>2291.65254872564</v>
      </c>
      <c r="Y146" s="62" t="n">
        <f aca="false">Y105+Y107</f>
        <v>2282.12571214393</v>
      </c>
      <c r="Z146" s="62" t="n">
        <f aca="false">Z105+Z107</f>
        <v>1358.23822917391</v>
      </c>
      <c r="AA146" s="62" t="n">
        <f aca="false">AA105+AA107</f>
        <v>1714.26430556522</v>
      </c>
      <c r="AB146" s="62" t="n">
        <f aca="false">AB105+AB107</f>
        <v>1899.73038195652</v>
      </c>
      <c r="AC146" s="62" t="n">
        <f aca="false">AC105+AC107</f>
        <v>1922.06168982609</v>
      </c>
      <c r="AD146" s="62" t="n">
        <f aca="false">AD105+AD107</f>
        <v>1280.36457409826</v>
      </c>
      <c r="AE146" s="62" t="n">
        <f aca="false">AE105+AE107</f>
        <v>1607.53116546435</v>
      </c>
      <c r="AF146" s="62" t="n">
        <f aca="false">AF105+AF107</f>
        <v>1759.02095683044</v>
      </c>
      <c r="AG146" s="62" t="n">
        <f aca="false">AG105+AG107</f>
        <v>1795.20229304174</v>
      </c>
      <c r="AH146" s="62" t="n">
        <f aca="false">AH105+AH107</f>
        <v>1263.29027514282</v>
      </c>
      <c r="AI146" s="62" t="n">
        <f aca="false">AI105+AI107</f>
        <v>1581.77678552376</v>
      </c>
      <c r="AJ146" s="62" t="n">
        <f aca="false">AJ105+AJ107</f>
        <v>1719.3161919047</v>
      </c>
      <c r="AK146" s="62" t="n">
        <f aca="false">AK105+AK107</f>
        <v>1762.74799444438</v>
      </c>
      <c r="AL146" s="62" t="n">
        <f aca="false">AL105+AL107</f>
        <v>1287.90540685425</v>
      </c>
      <c r="AM146" s="62" t="n">
        <f aca="false">AM105+AM107</f>
        <v>1611.51865369899</v>
      </c>
      <c r="AN146" s="62" t="n">
        <f aca="false">AN105+AN107</f>
        <v>1748.75638342374</v>
      </c>
      <c r="AO146" s="62" t="n">
        <f aca="false">AO105+AO107</f>
        <v>1794.96709298883</v>
      </c>
    </row>
    <row r="147" customFormat="false" ht="15" hidden="false" customHeight="false" outlineLevel="0" collapsed="false">
      <c r="C147" s="40" t="s">
        <v>114</v>
      </c>
      <c r="D147" s="58"/>
      <c r="E147" s="58"/>
      <c r="F147" s="40"/>
      <c r="G147" s="40"/>
      <c r="H147" s="62" t="n">
        <f aca="false">H17</f>
        <v>-190.612053880619</v>
      </c>
      <c r="I147" s="62" t="n">
        <f aca="false">I17</f>
        <v>-255.544592094219</v>
      </c>
      <c r="J147" s="62" t="n">
        <f aca="false">J17</f>
        <v>-278.766338646033</v>
      </c>
      <c r="K147" s="62" t="n">
        <f aca="false">K17</f>
        <v>-303.925686569822</v>
      </c>
      <c r="L147" s="62" t="n">
        <f aca="false">L17</f>
        <v>-329.530764779967</v>
      </c>
      <c r="N147" s="40"/>
      <c r="O147" s="40"/>
      <c r="P147" s="40"/>
      <c r="Q147" s="40"/>
      <c r="R147" s="40"/>
      <c r="S147" s="40"/>
      <c r="T147" s="40"/>
      <c r="U147" s="40"/>
      <c r="V147" s="41" t="n">
        <f aca="false">V17</f>
        <v>-25</v>
      </c>
      <c r="W147" s="41" t="n">
        <f aca="false">W17</f>
        <v>-37</v>
      </c>
      <c r="X147" s="62" t="n">
        <f aca="false">X17</f>
        <v>-59.9648462182045</v>
      </c>
      <c r="Y147" s="62" t="n">
        <f aca="false">Y17</f>
        <v>-68.6472076624146</v>
      </c>
      <c r="Z147" s="62" t="n">
        <f aca="false">Z17</f>
        <v>-56.8616589019882</v>
      </c>
      <c r="AA147" s="62" t="n">
        <f aca="false">AA17</f>
        <v>-62.6640804879097</v>
      </c>
      <c r="AB147" s="62" t="n">
        <f aca="false">AB17</f>
        <v>-64.4569889794387</v>
      </c>
      <c r="AC147" s="62" t="n">
        <f aca="false">AC17</f>
        <v>-71.5618637248828</v>
      </c>
      <c r="AD147" s="62" t="n">
        <f aca="false">AD17</f>
        <v>-62.6789845876312</v>
      </c>
      <c r="AE147" s="62" t="n">
        <f aca="false">AE17</f>
        <v>-68.3604747219544</v>
      </c>
      <c r="AF147" s="62" t="n">
        <f aca="false">AF17</f>
        <v>-70.1933402929604</v>
      </c>
      <c r="AG147" s="62" t="n">
        <f aca="false">AG17</f>
        <v>-77.5335390434865</v>
      </c>
      <c r="AH147" s="62" t="n">
        <f aca="false">AH17</f>
        <v>-68.9377710365676</v>
      </c>
      <c r="AI147" s="62" t="n">
        <f aca="false">AI17</f>
        <v>-74.7079705124724</v>
      </c>
      <c r="AJ147" s="62" t="n">
        <f aca="false">AJ17</f>
        <v>-76.3294014700213</v>
      </c>
      <c r="AK147" s="62" t="n">
        <f aca="false">AK17</f>
        <v>-83.9505435507602</v>
      </c>
      <c r="AL147" s="62" t="n">
        <f aca="false">AL17</f>
        <v>-75.4827979696282</v>
      </c>
      <c r="AM147" s="62" t="n">
        <f aca="false">AM17</f>
        <v>-81.1388689398186</v>
      </c>
      <c r="AN147" s="62" t="n">
        <f aca="false">AN17</f>
        <v>-82.6495946063568</v>
      </c>
      <c r="AO147" s="62" t="n">
        <f aca="false">AO17</f>
        <v>-90.2595032641633</v>
      </c>
    </row>
    <row r="148" customFormat="false" ht="15" hidden="false" customHeight="false" outlineLevel="0" collapsed="false">
      <c r="C148" s="42" t="s">
        <v>595</v>
      </c>
      <c r="D148" s="63"/>
      <c r="E148" s="63"/>
      <c r="F148" s="73"/>
      <c r="G148" s="73"/>
      <c r="H148" s="64" t="n">
        <f aca="false">SUM(H145:H147)</f>
        <v>24055.3262069889</v>
      </c>
      <c r="I148" s="64" t="n">
        <f aca="false">SUM(I145:I147)</f>
        <v>23663.6180144275</v>
      </c>
      <c r="J148" s="64" t="n">
        <f aca="false">SUM(J145:J147)</f>
        <v>23965.7941607887</v>
      </c>
      <c r="K148" s="64" t="n">
        <f aca="false">SUM(K145:K147)</f>
        <v>24561.7990758458</v>
      </c>
      <c r="L148" s="64" t="n">
        <f aca="false">SUM(L145:L147)</f>
        <v>25419.0110904518</v>
      </c>
      <c r="N148" s="73"/>
      <c r="O148" s="73"/>
      <c r="P148" s="73"/>
      <c r="Q148" s="73"/>
      <c r="R148" s="73"/>
      <c r="S148" s="73"/>
      <c r="T148" s="73"/>
      <c r="U148" s="73"/>
      <c r="V148" s="43" t="n">
        <f aca="false">SUM(V145:V147)</f>
        <v>4951</v>
      </c>
      <c r="W148" s="43" t="n">
        <f aca="false">SUM(W145:W147)</f>
        <v>6008</v>
      </c>
      <c r="X148" s="64" t="n">
        <f aca="false">SUM(X145:X147)</f>
        <v>6118.70270250743</v>
      </c>
      <c r="Y148" s="64" t="n">
        <f aca="false">SUM(Y145:Y147)</f>
        <v>6977.62350448151</v>
      </c>
      <c r="Z148" s="64" t="n">
        <f aca="false">SUM(Z145:Z147)</f>
        <v>5022.57657027192</v>
      </c>
      <c r="AA148" s="64" t="n">
        <f aca="false">SUM(AA145:AA147)</f>
        <v>5871.55022507731</v>
      </c>
      <c r="AB148" s="64" t="n">
        <f aca="false">SUM(AB145:AB147)</f>
        <v>5916.63914297708</v>
      </c>
      <c r="AC148" s="64" t="n">
        <f aca="false">SUM(AC145:AC147)</f>
        <v>6852.8520761012</v>
      </c>
      <c r="AD148" s="64" t="n">
        <f aca="false">SUM(AD145:AD147)</f>
        <v>5108.74408951063</v>
      </c>
      <c r="AE148" s="64" t="n">
        <f aca="false">SUM(AE145:AE147)</f>
        <v>5951.68019074239</v>
      </c>
      <c r="AF148" s="64" t="n">
        <f aca="false">SUM(AF145:AF147)</f>
        <v>5956.73224528747</v>
      </c>
      <c r="AG148" s="64" t="n">
        <f aca="false">SUM(AG145:AG147)</f>
        <v>6948.63763524825</v>
      </c>
      <c r="AH148" s="64" t="n">
        <f aca="false">SUM(AH145:AH147)</f>
        <v>5246.10279410625</v>
      </c>
      <c r="AI148" s="64" t="n">
        <f aca="false">SUM(AI145:AI147)</f>
        <v>6101.66837001128</v>
      </c>
      <c r="AJ148" s="64" t="n">
        <f aca="false">SUM(AJ145:AJ147)</f>
        <v>6087.65018633468</v>
      </c>
      <c r="AK148" s="64" t="n">
        <f aca="false">SUM(AK145:AK147)</f>
        <v>7126.37772539362</v>
      </c>
      <c r="AL148" s="64" t="n">
        <f aca="false">SUM(AL145:AL147)</f>
        <v>5431.54483298462</v>
      </c>
      <c r="AM148" s="64" t="n">
        <f aca="false">SUM(AM145:AM147)</f>
        <v>6314.63248070918</v>
      </c>
      <c r="AN148" s="64" t="n">
        <f aca="false">SUM(AN145:AN147)</f>
        <v>6294.90143165339</v>
      </c>
      <c r="AO148" s="64" t="n">
        <f aca="false">SUM(AO145:AO147)</f>
        <v>7377.93234510466</v>
      </c>
    </row>
    <row r="149" customFormat="false" ht="15" hidden="false" customHeight="false" outlineLevel="0" collapsed="false">
      <c r="C149" s="42" t="s">
        <v>39</v>
      </c>
      <c r="D149" s="63"/>
      <c r="E149" s="63"/>
      <c r="F149" s="73"/>
      <c r="G149" s="73"/>
      <c r="H149" s="64" t="n">
        <f aca="false">H140+H144+H148</f>
        <v>46033.7987222432</v>
      </c>
      <c r="I149" s="64" t="n">
        <f aca="false">I140+I144+I148</f>
        <v>50853.3738267497</v>
      </c>
      <c r="J149" s="64" t="n">
        <f aca="false">J140+J144+J148</f>
        <v>55474.5013905605</v>
      </c>
      <c r="K149" s="64" t="n">
        <f aca="false">K140+K144+K148</f>
        <v>60481.2116273945</v>
      </c>
      <c r="L149" s="64" t="n">
        <f aca="false">L140+L144+L148</f>
        <v>65576.6221912134</v>
      </c>
      <c r="N149" s="73"/>
      <c r="O149" s="73"/>
      <c r="P149" s="73"/>
      <c r="Q149" s="73"/>
      <c r="R149" s="73"/>
      <c r="S149" s="73"/>
      <c r="T149" s="73"/>
      <c r="U149" s="73"/>
      <c r="V149" s="43" t="n">
        <f aca="false">V140+V144+V148</f>
        <v>9337</v>
      </c>
      <c r="W149" s="43" t="n">
        <f aca="false">W140+W144+W148</f>
        <v>11103</v>
      </c>
      <c r="X149" s="64" t="n">
        <f aca="false">X140+X144+X148</f>
        <v>11933.0043974227</v>
      </c>
      <c r="Y149" s="64" t="n">
        <f aca="false">Y140+Y144+Y148</f>
        <v>13660.7943248205</v>
      </c>
      <c r="Z149" s="64" t="n">
        <f aca="false">Z140+Z144+Z148</f>
        <v>11315.4701214957</v>
      </c>
      <c r="AA149" s="64" t="n">
        <f aca="false">AA140+AA144+AA148</f>
        <v>12470.152017094</v>
      </c>
      <c r="AB149" s="64" t="n">
        <f aca="false">AB140+AB144+AB148</f>
        <v>12826.9408069083</v>
      </c>
      <c r="AC149" s="64" t="n">
        <f aca="false">AC140+AC144+AC148</f>
        <v>14240.8108812517</v>
      </c>
      <c r="AD149" s="64" t="n">
        <f aca="false">AD140+AD144+AD148</f>
        <v>12473.1179329386</v>
      </c>
      <c r="AE149" s="64" t="n">
        <f aca="false">AE140+AE144+AE148</f>
        <v>13603.7344696689</v>
      </c>
      <c r="AF149" s="64" t="n">
        <f aca="false">AF140+AF144+AF148</f>
        <v>13968.4747182991</v>
      </c>
      <c r="AG149" s="64" t="n">
        <f aca="false">AG140+AG144+AG148</f>
        <v>15429.1742696538</v>
      </c>
      <c r="AH149" s="64" t="n">
        <f aca="false">AH140+AH144+AH148</f>
        <v>13718.616436277</v>
      </c>
      <c r="AI149" s="64" t="n">
        <f aca="false">AI140+AI144+AI148</f>
        <v>14866.886131982</v>
      </c>
      <c r="AJ149" s="64" t="n">
        <f aca="false">AJ140+AJ144+AJ148</f>
        <v>15189.5508925342</v>
      </c>
      <c r="AK149" s="64" t="n">
        <f aca="false">AK140+AK144+AK148</f>
        <v>16706.1581666013</v>
      </c>
      <c r="AL149" s="64" t="n">
        <f aca="false">AL140+AL144+AL148</f>
        <v>15021.076795956</v>
      </c>
      <c r="AM149" s="64" t="n">
        <f aca="false">AM140+AM144+AM148</f>
        <v>16146.6349190239</v>
      </c>
      <c r="AN149" s="64" t="n">
        <f aca="false">AN140+AN144+AN148</f>
        <v>16447.269326665</v>
      </c>
      <c r="AO149" s="64" t="n">
        <f aca="false">AO140+AO144+AO148</f>
        <v>17961.6411495685</v>
      </c>
    </row>
    <row r="150" customFormat="false" ht="15" hidden="false" customHeight="false" outlineLevel="0" collapsed="false">
      <c r="C150" s="46" t="s">
        <v>596</v>
      </c>
      <c r="D150" s="58"/>
      <c r="E150" s="58"/>
      <c r="F150" s="40"/>
      <c r="G150" s="40"/>
      <c r="H150" s="66" t="n">
        <f aca="false">H140/H149</f>
        <v>0.4190816923757</v>
      </c>
      <c r="I150" s="66" t="n">
        <f aca="false">I140/I149</f>
        <v>0.364725777178544</v>
      </c>
      <c r="J150" s="66" t="n">
        <f aca="false">J140/J149</f>
        <v>0.122499648573868</v>
      </c>
      <c r="K150" s="66" t="n">
        <f aca="false">K140/K149</f>
        <v>0.0523683521029138</v>
      </c>
      <c r="L150" s="66" t="n">
        <f aca="false">L140/L149</f>
        <v>0.0370977725612447</v>
      </c>
      <c r="N150" s="40"/>
      <c r="O150" s="40"/>
      <c r="P150" s="40"/>
      <c r="Q150" s="40"/>
      <c r="R150" s="40"/>
      <c r="S150" s="40"/>
      <c r="T150" s="40"/>
      <c r="U150" s="40"/>
      <c r="V150" s="65" t="n">
        <f aca="false">V140/V149</f>
        <v>0.469744029131413</v>
      </c>
      <c r="W150" s="65" t="n">
        <f aca="false">W140/W149</f>
        <v>0.458884986039809</v>
      </c>
      <c r="X150" s="66" t="n">
        <f aca="false">X140/X149</f>
        <v>0.394059269852914</v>
      </c>
      <c r="Y150" s="66" t="n">
        <f aca="false">Y140/Y149</f>
        <v>0.373961510109122</v>
      </c>
      <c r="Z150" s="66" t="n">
        <f aca="false">Z140/Z149</f>
        <v>0.406577486591596</v>
      </c>
      <c r="AA150" s="66" t="n">
        <f aca="false">AA140/AA149</f>
        <v>0.37202067501339</v>
      </c>
      <c r="AB150" s="66" t="n">
        <f aca="false">AB140/AB149</f>
        <v>0.360666934067558</v>
      </c>
      <c r="AC150" s="66" t="n">
        <f aca="false">AC140/AC149</f>
        <v>0.328739223021565</v>
      </c>
      <c r="AD150" s="66" t="n">
        <f aca="false">AD140/AD149</f>
        <v>0.295767681854782</v>
      </c>
      <c r="AE150" s="66" t="n">
        <f aca="false">AE140/AE149</f>
        <v>0.0800769155184129</v>
      </c>
      <c r="AF150" s="66" t="n">
        <f aca="false">AF140/AF149</f>
        <v>0.0733848008375481</v>
      </c>
      <c r="AG150" s="66" t="n">
        <f aca="false">AG140/AG149</f>
        <v>0.0625175636732992</v>
      </c>
      <c r="AH150" s="66" t="n">
        <f aca="false">AH140/AH149</f>
        <v>0.0628000594062014</v>
      </c>
      <c r="AI150" s="66" t="n">
        <f aca="false">AI140/AI149</f>
        <v>0.0547044111340879</v>
      </c>
      <c r="AJ150" s="66" t="n">
        <f aca="false">AJ140/AJ149</f>
        <v>0.050543978463188</v>
      </c>
      <c r="AK150" s="66" t="n">
        <f aca="false">AK140/AK149</f>
        <v>0.0433820192106584</v>
      </c>
      <c r="AL150" s="66" t="n">
        <f aca="false">AL140/AL149</f>
        <v>0.0439200688013394</v>
      </c>
      <c r="AM150" s="66" t="n">
        <f aca="false">AM140/AM149</f>
        <v>0.0386521083963106</v>
      </c>
      <c r="AN150" s="66" t="n">
        <f aca="false">AN140/AN149</f>
        <v>0.0358965364590822</v>
      </c>
      <c r="AO150" s="66" t="n">
        <f aca="false">AO140/AO149</f>
        <v>0.0310950652127017</v>
      </c>
    </row>
    <row r="151" customFormat="false" ht="15" hidden="false" customHeight="false" outlineLevel="0" collapsed="false">
      <c r="C151" s="46" t="s">
        <v>597</v>
      </c>
      <c r="D151" s="58"/>
      <c r="E151" s="58"/>
      <c r="F151" s="40"/>
      <c r="G151" s="40"/>
      <c r="H151" s="66" t="n">
        <f aca="false">H148/H149</f>
        <v>0.522557922107036</v>
      </c>
      <c r="I151" s="66" t="n">
        <f aca="false">I148/I149</f>
        <v>0.46533034553511</v>
      </c>
      <c r="J151" s="66" t="n">
        <f aca="false">J148/J149</f>
        <v>0.432014593372565</v>
      </c>
      <c r="K151" s="66" t="n">
        <f aca="false">K148/K149</f>
        <v>0.406106266970365</v>
      </c>
      <c r="L151" s="66" t="n">
        <f aca="false">L148/L149</f>
        <v>0.387623062016417</v>
      </c>
      <c r="N151" s="40"/>
      <c r="O151" s="40"/>
      <c r="P151" s="40"/>
      <c r="Q151" s="40"/>
      <c r="R151" s="40"/>
      <c r="S151" s="40"/>
      <c r="T151" s="40"/>
      <c r="U151" s="40"/>
      <c r="V151" s="65" t="n">
        <f aca="false">V148/V149</f>
        <v>0.530255970868587</v>
      </c>
      <c r="W151" s="65" t="n">
        <f aca="false">W148/W149</f>
        <v>0.541115013960191</v>
      </c>
      <c r="X151" s="66" t="n">
        <f aca="false">X148/X149</f>
        <v>0.512754583734919</v>
      </c>
      <c r="Y151" s="66" t="n">
        <f aca="false">Y148/Y149</f>
        <v>0.51077729000017</v>
      </c>
      <c r="Z151" s="66" t="n">
        <f aca="false">Z148/Z149</f>
        <v>0.443868130651566</v>
      </c>
      <c r="AA151" s="66" t="n">
        <f aca="false">AA148/AA149</f>
        <v>0.470848327833423</v>
      </c>
      <c r="AB151" s="66" t="n">
        <f aca="false">AB148/AB149</f>
        <v>0.461266581957758</v>
      </c>
      <c r="AC151" s="66" t="n">
        <f aca="false">AC148/AC149</f>
        <v>0.481212209981886</v>
      </c>
      <c r="AD151" s="66" t="n">
        <f aca="false">AD148/AD149</f>
        <v>0.409580356489665</v>
      </c>
      <c r="AE151" s="66" t="n">
        <f aca="false">AE148/AE149</f>
        <v>0.437503407907023</v>
      </c>
      <c r="AF151" s="66" t="n">
        <f aca="false">AF148/AF149</f>
        <v>0.42644113730499</v>
      </c>
      <c r="AG151" s="66" t="n">
        <f aca="false">AG148/AG149</f>
        <v>0.450357064727364</v>
      </c>
      <c r="AH151" s="66" t="n">
        <f aca="false">AH148/AH149</f>
        <v>0.382407571381154</v>
      </c>
      <c r="AI151" s="66" t="n">
        <f aca="false">AI148/AI149</f>
        <v>0.410420064823475</v>
      </c>
      <c r="AJ151" s="66" t="n">
        <f aca="false">AJ148/AJ149</f>
        <v>0.400778813633443</v>
      </c>
      <c r="AK151" s="66" t="n">
        <f aca="false">AK148/AK149</f>
        <v>0.426571905660547</v>
      </c>
      <c r="AL151" s="66" t="n">
        <f aca="false">AL148/AL149</f>
        <v>0.361594904730592</v>
      </c>
      <c r="AM151" s="66" t="n">
        <f aca="false">AM148/AM149</f>
        <v>0.391080402348684</v>
      </c>
      <c r="AN151" s="66" t="n">
        <f aca="false">AN148/AN149</f>
        <v>0.382732312983276</v>
      </c>
      <c r="AO151" s="66" t="n">
        <f aca="false">AO148/AO149</f>
        <v>0.410760480273926</v>
      </c>
    </row>
    <row r="152" customFormat="false" ht="15" hidden="false" customHeight="false" outlineLevel="0" collapsed="false">
      <c r="C152" s="46" t="s">
        <v>598</v>
      </c>
      <c r="D152" s="58"/>
      <c r="E152" s="58"/>
      <c r="F152" s="40"/>
      <c r="G152" s="40"/>
      <c r="H152" s="66" t="n">
        <f aca="false">H141/H149</f>
        <v>0</v>
      </c>
      <c r="I152" s="66" t="n">
        <f aca="false">I141/I149</f>
        <v>0</v>
      </c>
      <c r="J152" s="66" t="n">
        <f aca="false">J141/J149</f>
        <v>0.218420755644749</v>
      </c>
      <c r="K152" s="66" t="n">
        <f aca="false">K141/K149</f>
        <v>0.279206974535205</v>
      </c>
      <c r="L152" s="66" t="n">
        <f aca="false">L141/L149</f>
        <v>0</v>
      </c>
      <c r="N152" s="40"/>
      <c r="O152" s="40"/>
      <c r="P152" s="40"/>
      <c r="Q152" s="40"/>
      <c r="R152" s="40"/>
      <c r="S152" s="40"/>
      <c r="T152" s="40"/>
      <c r="U152" s="40"/>
      <c r="V152" s="65" t="n">
        <f aca="false">V141/V149</f>
        <v>0</v>
      </c>
      <c r="W152" s="65" t="n">
        <f aca="false">W141/W149</f>
        <v>0</v>
      </c>
      <c r="X152" s="66" t="n">
        <f aca="false">X141/X149</f>
        <v>0</v>
      </c>
      <c r="Y152" s="66" t="n">
        <f aca="false">Y141/Y149</f>
        <v>0</v>
      </c>
      <c r="Z152" s="66" t="n">
        <f aca="false">Z141/Z149</f>
        <v>0</v>
      </c>
      <c r="AA152" s="66" t="n">
        <f aca="false">AA141/AA149</f>
        <v>0</v>
      </c>
      <c r="AB152" s="66" t="n">
        <f aca="false">AB141/AB149</f>
        <v>0</v>
      </c>
      <c r="AC152" s="66" t="n">
        <f aca="false">AC141/AC149</f>
        <v>0</v>
      </c>
      <c r="AD152" s="66" t="n">
        <f aca="false">AD141/AD149</f>
        <v>0.0734860269706316</v>
      </c>
      <c r="AE152" s="66" t="n">
        <f aca="false">AE141/AE149</f>
        <v>0.264197184947048</v>
      </c>
      <c r="AF152" s="66" t="n">
        <f aca="false">AF141/AF149</f>
        <v>0.267882683029906</v>
      </c>
      <c r="AG152" s="66" t="n">
        <f aca="false">AG141/AG149</f>
        <v>0.252226740044674</v>
      </c>
      <c r="AH152" s="66" t="n">
        <f aca="false">AH141/AH149</f>
        <v>0.289908469184374</v>
      </c>
      <c r="AI152" s="66" t="n">
        <f aca="false">AI141/AI149</f>
        <v>0.279634565495656</v>
      </c>
      <c r="AJ152" s="66" t="n">
        <f aca="false">AJ141/AJ149</f>
        <v>0.283617380806777</v>
      </c>
      <c r="AK152" s="66" t="n">
        <f aca="false">AK141/AK149</f>
        <v>0.266003727303219</v>
      </c>
      <c r="AL152" s="66" t="n">
        <f aca="false">AL141/AL149</f>
        <v>0</v>
      </c>
      <c r="AM152" s="66" t="n">
        <f aca="false">AM141/AM149</f>
        <v>0</v>
      </c>
      <c r="AN152" s="66" t="n">
        <f aca="false">AN141/AN149</f>
        <v>0</v>
      </c>
      <c r="AO152" s="66" t="n">
        <f aca="false">AO141/AO149</f>
        <v>0</v>
      </c>
    </row>
    <row r="153" customFormat="false" ht="15" hidden="false" customHeight="false" outlineLevel="0" collapsed="false">
      <c r="C153" s="48" t="s">
        <v>599</v>
      </c>
      <c r="D153" s="58"/>
      <c r="E153" s="58"/>
      <c r="F153" s="40"/>
      <c r="G153" s="40"/>
      <c r="H153" s="92" t="n">
        <f aca="false">H144/H149</f>
        <v>0.0583603855172638</v>
      </c>
      <c r="I153" s="92" t="n">
        <f aca="false">I144/I149</f>
        <v>0.169943877286346</v>
      </c>
      <c r="J153" s="92" t="n">
        <f aca="false">J144/J149</f>
        <v>0.445485758053567</v>
      </c>
      <c r="K153" s="92" t="n">
        <f aca="false">K144/K149</f>
        <v>0.541525380926721</v>
      </c>
      <c r="L153" s="92" t="n">
        <f aca="false">L144/L149</f>
        <v>0.575279165422339</v>
      </c>
      <c r="N153" s="40"/>
      <c r="O153" s="40"/>
      <c r="P153" s="40"/>
      <c r="Q153" s="40"/>
      <c r="R153" s="40"/>
      <c r="S153" s="40"/>
      <c r="T153" s="40"/>
      <c r="U153" s="40"/>
      <c r="V153" s="49" t="n">
        <f aca="false">V144/V149</f>
        <v>0</v>
      </c>
      <c r="W153" s="49" t="n">
        <f aca="false">W144/W149</f>
        <v>0</v>
      </c>
      <c r="X153" s="92" t="n">
        <f aca="false">X144/X149</f>
        <v>0.0931861464121662</v>
      </c>
      <c r="Y153" s="92" t="n">
        <f aca="false">Y144/Y149</f>
        <v>0.115261199890708</v>
      </c>
      <c r="Z153" s="92" t="n">
        <f aca="false">Z144/Z149</f>
        <v>0.149554382756838</v>
      </c>
      <c r="AA153" s="92" t="n">
        <f aca="false">AA144/AA149</f>
        <v>0.157130997153187</v>
      </c>
      <c r="AB153" s="92" t="n">
        <f aca="false">AB144/AB149</f>
        <v>0.178066483974684</v>
      </c>
      <c r="AC153" s="92" t="n">
        <f aca="false">AC144/AC149</f>
        <v>0.190048566996549</v>
      </c>
      <c r="AD153" s="92" t="n">
        <f aca="false">AD144/AD149</f>
        <v>0.294651961655553</v>
      </c>
      <c r="AE153" s="92" t="n">
        <f aca="false">AE144/AE149</f>
        <v>0.482419676574564</v>
      </c>
      <c r="AF153" s="92" t="n">
        <f aca="false">AF144/AF149</f>
        <v>0.500174061857462</v>
      </c>
      <c r="AG153" s="92" t="n">
        <f aca="false">AG144/AG149</f>
        <v>0.487125371599337</v>
      </c>
      <c r="AH153" s="92" t="n">
        <f aca="false">AH144/AH149</f>
        <v>0.554792369212645</v>
      </c>
      <c r="AI153" s="92" t="n">
        <f aca="false">AI144/AI149</f>
        <v>0.534875524042437</v>
      </c>
      <c r="AJ153" s="92" t="n">
        <f aca="false">AJ144/AJ149</f>
        <v>0.548677207903369</v>
      </c>
      <c r="AK153" s="92" t="n">
        <f aca="false">AK144/AK149</f>
        <v>0.530046075128795</v>
      </c>
      <c r="AL153" s="92" t="n">
        <f aca="false">AL144/AL149</f>
        <v>0.594485026468069</v>
      </c>
      <c r="AM153" s="92" t="n">
        <f aca="false">AM144/AM149</f>
        <v>0.570267489255006</v>
      </c>
      <c r="AN153" s="92" t="n">
        <f aca="false">AN144/AN149</f>
        <v>0.581371150557642</v>
      </c>
      <c r="AO153" s="92" t="n">
        <f aca="false">AO144/AO149</f>
        <v>0.558144454513373</v>
      </c>
    </row>
    <row r="154" customFormat="false" ht="15" hidden="false" customHeight="false" outlineLevel="0" collapsed="false">
      <c r="C154" s="46" t="s">
        <v>600</v>
      </c>
      <c r="D154" s="58"/>
      <c r="E154" s="58"/>
      <c r="F154" s="40"/>
      <c r="G154" s="40"/>
      <c r="H154" s="67" t="n">
        <f aca="false">H149-H18</f>
        <v>0</v>
      </c>
      <c r="I154" s="67" t="n">
        <f aca="false">I149-I18</f>
        <v>0</v>
      </c>
      <c r="J154" s="67" t="n">
        <f aca="false">J149-J18</f>
        <v>0</v>
      </c>
      <c r="K154" s="67" t="n">
        <f aca="false">K149-K18</f>
        <v>0</v>
      </c>
      <c r="L154" s="67" t="n">
        <f aca="false">L149-L18</f>
        <v>0</v>
      </c>
      <c r="N154" s="40"/>
      <c r="O154" s="40"/>
      <c r="P154" s="40"/>
      <c r="Q154" s="40"/>
      <c r="R154" s="40"/>
      <c r="S154" s="40"/>
      <c r="T154" s="40"/>
      <c r="U154" s="40"/>
      <c r="V154" s="51" t="n">
        <f aca="false">V149-V18</f>
        <v>0</v>
      </c>
      <c r="W154" s="51" t="n">
        <f aca="false">W149-W18</f>
        <v>0</v>
      </c>
      <c r="X154" s="67" t="n">
        <f aca="false">X149-X18</f>
        <v>0</v>
      </c>
      <c r="Y154" s="67" t="n">
        <f aca="false">Y149-Y18</f>
        <v>0</v>
      </c>
      <c r="Z154" s="67" t="n">
        <f aca="false">Z149-Z18</f>
        <v>0</v>
      </c>
      <c r="AA154" s="67" t="n">
        <f aca="false">AA149-AA18</f>
        <v>0</v>
      </c>
      <c r="AB154" s="67" t="n">
        <f aca="false">AB149-AB18</f>
        <v>0</v>
      </c>
      <c r="AC154" s="67" t="n">
        <f aca="false">AC149-AC18</f>
        <v>0</v>
      </c>
      <c r="AD154" s="67" t="n">
        <f aca="false">AD149-AD18</f>
        <v>0</v>
      </c>
      <c r="AE154" s="67" t="n">
        <f aca="false">AE149-AE18</f>
        <v>0</v>
      </c>
      <c r="AF154" s="67" t="n">
        <f aca="false">AF149-AF18</f>
        <v>0</v>
      </c>
      <c r="AG154" s="67" t="n">
        <f aca="false">AG149-AG18</f>
        <v>0</v>
      </c>
      <c r="AH154" s="67" t="n">
        <f aca="false">AH149-AH18</f>
        <v>0</v>
      </c>
      <c r="AI154" s="67" t="n">
        <f aca="false">AI149-AI18</f>
        <v>0</v>
      </c>
      <c r="AJ154" s="67" t="n">
        <f aca="false">AJ149-AJ18</f>
        <v>0</v>
      </c>
      <c r="AK154" s="67" t="n">
        <f aca="false">AK149-AK18</f>
        <v>0</v>
      </c>
      <c r="AL154" s="67" t="n">
        <f aca="false">AL149-AL18</f>
        <v>0</v>
      </c>
      <c r="AM154" s="67" t="n">
        <f aca="false">AM149-AM18</f>
        <v>0</v>
      </c>
      <c r="AN154" s="67" t="n">
        <f aca="false">AN149-AN18</f>
        <v>0</v>
      </c>
      <c r="AO154" s="67" t="n">
        <f aca="false">AO149-AO18</f>
        <v>0</v>
      </c>
    </row>
    <row r="156" customFormat="false" ht="15" hidden="false" customHeight="false" outlineLevel="0" collapsed="false">
      <c r="C156" s="61" t="s">
        <v>601</v>
      </c>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row>
    <row r="157" customFormat="false" ht="15" hidden="false" customHeight="false" outlineLevel="0" collapsed="false">
      <c r="C157" s="40" t="s">
        <v>602</v>
      </c>
      <c r="D157" s="58"/>
      <c r="E157" s="58" t="s">
        <v>603</v>
      </c>
      <c r="F157" s="40"/>
      <c r="G157" s="40"/>
      <c r="H157" s="93" t="n">
        <v>45500</v>
      </c>
      <c r="I157" s="68"/>
      <c r="J157" s="68"/>
      <c r="K157" s="68"/>
      <c r="L157" s="68"/>
      <c r="N157" s="40"/>
      <c r="O157" s="40"/>
      <c r="P157" s="40"/>
      <c r="Q157" s="40"/>
      <c r="R157" s="40"/>
      <c r="S157" s="40"/>
      <c r="T157" s="40"/>
      <c r="U157" s="40"/>
      <c r="V157" s="40"/>
      <c r="W157" s="40"/>
      <c r="X157" s="68"/>
      <c r="Y157" s="68"/>
      <c r="Z157" s="68"/>
      <c r="AA157" s="68"/>
      <c r="AB157" s="68"/>
      <c r="AC157" s="68"/>
      <c r="AD157" s="68"/>
      <c r="AE157" s="68"/>
      <c r="AF157" s="68"/>
      <c r="AG157" s="68"/>
      <c r="AH157" s="68"/>
      <c r="AI157" s="68"/>
      <c r="AJ157" s="68"/>
      <c r="AK157" s="68"/>
      <c r="AL157" s="68"/>
      <c r="AM157" s="68"/>
      <c r="AN157" s="68"/>
      <c r="AO157" s="68"/>
    </row>
    <row r="158" customFormat="false" ht="15" hidden="false" customHeight="false" outlineLevel="0" collapsed="false">
      <c r="C158" s="40" t="s">
        <v>604</v>
      </c>
      <c r="D158" s="58"/>
      <c r="E158" s="58"/>
      <c r="F158" s="40"/>
      <c r="G158" s="40"/>
      <c r="H158" s="93" t="n">
        <v>46500</v>
      </c>
      <c r="I158" s="68"/>
      <c r="J158" s="68"/>
      <c r="K158" s="68"/>
      <c r="L158" s="68"/>
      <c r="N158" s="40"/>
      <c r="O158" s="40"/>
      <c r="P158" s="40"/>
      <c r="Q158" s="40"/>
      <c r="R158" s="40"/>
      <c r="S158" s="40"/>
      <c r="T158" s="40"/>
      <c r="U158" s="40"/>
      <c r="V158" s="40"/>
      <c r="W158" s="40"/>
      <c r="X158" s="68"/>
      <c r="Y158" s="68"/>
      <c r="Z158" s="68"/>
      <c r="AA158" s="68"/>
      <c r="AB158" s="68"/>
      <c r="AC158" s="68"/>
      <c r="AD158" s="68"/>
      <c r="AE158" s="68"/>
      <c r="AF158" s="68"/>
      <c r="AG158" s="68"/>
      <c r="AH158" s="68"/>
      <c r="AI158" s="68"/>
      <c r="AJ158" s="68"/>
      <c r="AK158" s="68"/>
      <c r="AL158" s="68"/>
      <c r="AM158" s="68"/>
      <c r="AN158" s="68"/>
      <c r="AO158" s="68"/>
    </row>
    <row r="159" customFormat="false" ht="15" hidden="false" customHeight="false" outlineLevel="0" collapsed="false">
      <c r="C159" s="40" t="s">
        <v>605</v>
      </c>
      <c r="D159" s="58"/>
      <c r="E159" s="58"/>
      <c r="F159" s="40"/>
      <c r="G159" s="40"/>
      <c r="H159" s="94" t="str">
        <f aca="false">IF(AND(H18&gt;=H157,H18&lt;=H158),"Within guidance",IF(H18&lt;H157,"Below guidance","Above guidance"))</f>
        <v>Within guidance</v>
      </c>
      <c r="I159" s="68"/>
      <c r="J159" s="68"/>
      <c r="K159" s="68"/>
      <c r="L159" s="68"/>
      <c r="N159" s="40"/>
      <c r="O159" s="40"/>
      <c r="P159" s="40"/>
      <c r="Q159" s="40"/>
      <c r="R159" s="40"/>
      <c r="S159" s="40"/>
      <c r="T159" s="40"/>
      <c r="U159" s="40"/>
      <c r="V159" s="40"/>
      <c r="W159" s="40"/>
      <c r="X159" s="68"/>
      <c r="Y159" s="68"/>
      <c r="Z159" s="68"/>
      <c r="AA159" s="68"/>
      <c r="AB159" s="68"/>
      <c r="AC159" s="68"/>
      <c r="AD159" s="68"/>
      <c r="AE159" s="68"/>
      <c r="AF159" s="68"/>
      <c r="AG159" s="68"/>
      <c r="AH159" s="68"/>
      <c r="AI159" s="68"/>
      <c r="AJ159" s="68"/>
      <c r="AK159" s="68"/>
      <c r="AL159" s="68"/>
      <c r="AM159" s="68"/>
      <c r="AN159" s="68"/>
      <c r="AO159" s="68"/>
    </row>
    <row r="160" customFormat="false" ht="15" hidden="false" customHeight="false" outlineLevel="0" collapsed="false">
      <c r="C160" s="40" t="s">
        <v>606</v>
      </c>
      <c r="D160" s="58"/>
      <c r="E160" s="58"/>
      <c r="F160" s="40"/>
      <c r="G160" s="40"/>
      <c r="H160" s="93" t="n">
        <v>14500</v>
      </c>
      <c r="I160" s="68"/>
      <c r="J160" s="68"/>
      <c r="K160" s="68"/>
      <c r="L160" s="68"/>
      <c r="N160" s="40"/>
      <c r="O160" s="40"/>
      <c r="P160" s="40"/>
      <c r="Q160" s="40"/>
      <c r="R160" s="40"/>
      <c r="S160" s="40"/>
      <c r="T160" s="40"/>
      <c r="U160" s="40"/>
      <c r="V160" s="40"/>
      <c r="W160" s="40"/>
      <c r="X160" s="68"/>
      <c r="Y160" s="68"/>
      <c r="Z160" s="68"/>
      <c r="AA160" s="68"/>
      <c r="AB160" s="68"/>
      <c r="AC160" s="68"/>
      <c r="AD160" s="68"/>
      <c r="AE160" s="68"/>
      <c r="AF160" s="68"/>
      <c r="AG160" s="68"/>
      <c r="AH160" s="68"/>
      <c r="AI160" s="68"/>
      <c r="AJ160" s="68"/>
      <c r="AK160" s="68"/>
      <c r="AL160" s="68"/>
      <c r="AM160" s="68"/>
      <c r="AN160" s="68"/>
      <c r="AO160" s="68"/>
    </row>
    <row r="161" customFormat="false" ht="15" hidden="false" customHeight="false" outlineLevel="0" collapsed="false">
      <c r="C161" s="40" t="s">
        <v>607</v>
      </c>
      <c r="D161" s="58"/>
      <c r="E161" s="58"/>
      <c r="F161" s="40"/>
      <c r="G161" s="40"/>
      <c r="H161" s="93" t="n">
        <v>15000</v>
      </c>
      <c r="I161" s="68"/>
      <c r="J161" s="68"/>
      <c r="K161" s="68"/>
      <c r="L161" s="68"/>
      <c r="N161" s="40"/>
      <c r="O161" s="40"/>
      <c r="P161" s="40"/>
      <c r="Q161" s="40"/>
      <c r="R161" s="40"/>
      <c r="S161" s="40"/>
      <c r="T161" s="40"/>
      <c r="U161" s="40"/>
      <c r="V161" s="40"/>
      <c r="W161" s="40"/>
      <c r="X161" s="68"/>
      <c r="Y161" s="68"/>
      <c r="Z161" s="68"/>
      <c r="AA161" s="68"/>
      <c r="AB161" s="68"/>
      <c r="AC161" s="68"/>
      <c r="AD161" s="68"/>
      <c r="AE161" s="68"/>
      <c r="AF161" s="68"/>
      <c r="AG161" s="68"/>
      <c r="AH161" s="68"/>
      <c r="AI161" s="68"/>
      <c r="AJ161" s="68"/>
      <c r="AK161" s="68"/>
      <c r="AL161" s="68"/>
      <c r="AM161" s="68"/>
      <c r="AN161" s="68"/>
      <c r="AO161" s="68"/>
    </row>
    <row r="162" customFormat="false" ht="15" hidden="false" customHeight="false" outlineLevel="0" collapsed="false">
      <c r="C162" s="40" t="s">
        <v>608</v>
      </c>
      <c r="D162" s="58"/>
      <c r="E162" s="58"/>
      <c r="F162" s="40"/>
      <c r="G162" s="40"/>
      <c r="H162" s="94" t="str">
        <f aca="false">IF(AND(H23&gt;=H160,H23&lt;=H161),"Within guidance",IF(H23&lt;H160,"Below guidance","Above guidance"))</f>
        <v>Within guidance</v>
      </c>
      <c r="I162" s="68"/>
      <c r="J162" s="68"/>
      <c r="K162" s="68"/>
      <c r="L162" s="68"/>
      <c r="N162" s="40"/>
      <c r="O162" s="40"/>
      <c r="P162" s="40"/>
      <c r="Q162" s="40"/>
      <c r="R162" s="40"/>
      <c r="S162" s="40"/>
      <c r="T162" s="40"/>
      <c r="U162" s="40"/>
      <c r="V162" s="40"/>
      <c r="W162" s="40"/>
      <c r="X162" s="68"/>
      <c r="Y162" s="68"/>
      <c r="Z162" s="68"/>
      <c r="AA162" s="68"/>
      <c r="AB162" s="68"/>
      <c r="AC162" s="68"/>
      <c r="AD162" s="68"/>
      <c r="AE162" s="68"/>
      <c r="AF162" s="68"/>
      <c r="AG162" s="68"/>
      <c r="AH162" s="68"/>
      <c r="AI162" s="68"/>
      <c r="AJ162" s="68"/>
      <c r="AK162" s="68"/>
      <c r="AL162" s="68"/>
      <c r="AM162" s="68"/>
      <c r="AN162" s="68"/>
      <c r="AO162" s="68"/>
    </row>
    <row r="163" customFormat="false" ht="15" hidden="false" customHeight="false" outlineLevel="0" collapsed="false">
      <c r="C163" s="40" t="s">
        <v>609</v>
      </c>
      <c r="D163" s="58"/>
      <c r="E163" s="58"/>
      <c r="F163" s="40"/>
      <c r="G163" s="40"/>
      <c r="H163" s="95" t="n">
        <v>0.18</v>
      </c>
      <c r="I163" s="68"/>
      <c r="J163" s="68"/>
      <c r="K163" s="68"/>
      <c r="L163" s="68"/>
      <c r="N163" s="40"/>
      <c r="O163" s="40"/>
      <c r="P163" s="40"/>
      <c r="Q163" s="40"/>
      <c r="R163" s="40"/>
      <c r="S163" s="40"/>
      <c r="T163" s="40"/>
      <c r="U163" s="40"/>
      <c r="V163" s="40"/>
      <c r="W163" s="40"/>
      <c r="X163" s="68"/>
      <c r="Y163" s="68"/>
      <c r="Z163" s="68"/>
      <c r="AA163" s="68"/>
      <c r="AB163" s="68"/>
      <c r="AC163" s="68"/>
      <c r="AD163" s="68"/>
      <c r="AE163" s="68"/>
      <c r="AF163" s="68"/>
      <c r="AG163" s="68"/>
      <c r="AH163" s="68"/>
      <c r="AI163" s="68"/>
      <c r="AJ163" s="68"/>
      <c r="AK163" s="68"/>
      <c r="AL163" s="68"/>
      <c r="AM163" s="68"/>
      <c r="AN163" s="68"/>
      <c r="AO163" s="68"/>
    </row>
    <row r="164" customFormat="false" ht="15" hidden="false" customHeight="false" outlineLevel="0" collapsed="false">
      <c r="C164" s="40" t="s">
        <v>610</v>
      </c>
      <c r="D164" s="58"/>
      <c r="E164" s="58"/>
      <c r="F164" s="40"/>
      <c r="G164" s="40"/>
      <c r="H164" s="95" t="n">
        <v>0.2</v>
      </c>
      <c r="I164" s="68"/>
      <c r="J164" s="68"/>
      <c r="K164" s="68"/>
      <c r="L164" s="68"/>
      <c r="N164" s="40"/>
      <c r="O164" s="40"/>
      <c r="P164" s="40"/>
      <c r="Q164" s="40"/>
      <c r="R164" s="40"/>
      <c r="S164" s="40"/>
      <c r="T164" s="40"/>
      <c r="U164" s="40"/>
      <c r="V164" s="40"/>
      <c r="W164" s="40"/>
      <c r="X164" s="68"/>
      <c r="Y164" s="68"/>
      <c r="Z164" s="68"/>
      <c r="AA164" s="68"/>
      <c r="AB164" s="68"/>
      <c r="AC164" s="68"/>
      <c r="AD164" s="68"/>
      <c r="AE164" s="68"/>
      <c r="AF164" s="68"/>
      <c r="AG164" s="68"/>
      <c r="AH164" s="68"/>
      <c r="AI164" s="68"/>
      <c r="AJ164" s="68"/>
      <c r="AK164" s="68"/>
      <c r="AL164" s="68"/>
      <c r="AM164" s="68"/>
      <c r="AN164" s="68"/>
      <c r="AO164" s="68"/>
    </row>
    <row r="165" customFormat="false" ht="15" hidden="false" customHeight="false" outlineLevel="0" collapsed="false">
      <c r="C165" s="40" t="s">
        <v>611</v>
      </c>
      <c r="D165" s="58"/>
      <c r="E165" s="58" t="s">
        <v>612</v>
      </c>
      <c r="F165" s="40"/>
      <c r="G165" s="40"/>
      <c r="H165" s="94" t="str">
        <f aca="false">IF(AND(H25&gt;=H163-0.01,H25&lt;=H164+0.01),"In line ("&amp;TEXT(H25,"0.0%")&amp;")","Check ("&amp;TEXT(H25,"0.0%")&amp;")")</f>
        <v>In line (17.6%)</v>
      </c>
      <c r="I165" s="68"/>
      <c r="J165" s="68"/>
      <c r="K165" s="68"/>
      <c r="L165" s="68"/>
      <c r="N165" s="40"/>
      <c r="O165" s="40"/>
      <c r="P165" s="40"/>
      <c r="Q165" s="40"/>
      <c r="R165" s="40"/>
      <c r="S165" s="40"/>
      <c r="T165" s="40"/>
      <c r="U165" s="40"/>
      <c r="V165" s="40"/>
      <c r="W165" s="40"/>
      <c r="X165" s="68"/>
      <c r="Y165" s="68"/>
      <c r="Z165" s="68"/>
      <c r="AA165" s="68"/>
      <c r="AB165" s="68"/>
      <c r="AC165" s="68"/>
      <c r="AD165" s="68"/>
      <c r="AE165" s="68"/>
      <c r="AF165" s="68"/>
      <c r="AG165" s="68"/>
      <c r="AH165" s="68"/>
      <c r="AI165" s="68"/>
      <c r="AJ165" s="68"/>
      <c r="AK165" s="68"/>
      <c r="AL165" s="68"/>
      <c r="AM165" s="68"/>
      <c r="AN165" s="68"/>
      <c r="AO165" s="68"/>
    </row>
    <row r="166" customFormat="false" ht="15" hidden="false" customHeight="false" outlineLevel="0" collapsed="false">
      <c r="C166" s="40" t="s">
        <v>613</v>
      </c>
      <c r="D166" s="58"/>
      <c r="E166" s="58"/>
      <c r="F166" s="40"/>
      <c r="G166" s="40"/>
      <c r="H166" s="95" t="n">
        <v>0.17</v>
      </c>
      <c r="I166" s="68"/>
      <c r="J166" s="68"/>
      <c r="K166" s="68"/>
      <c r="L166" s="68"/>
      <c r="N166" s="40"/>
      <c r="O166" s="40"/>
      <c r="P166" s="40"/>
      <c r="Q166" s="40"/>
      <c r="R166" s="40"/>
      <c r="S166" s="40"/>
      <c r="T166" s="40"/>
      <c r="U166" s="40"/>
      <c r="V166" s="40"/>
      <c r="W166" s="40"/>
      <c r="X166" s="68"/>
      <c r="Y166" s="68"/>
      <c r="Z166" s="68"/>
      <c r="AA166" s="68"/>
      <c r="AB166" s="68"/>
      <c r="AC166" s="68"/>
      <c r="AD166" s="68"/>
      <c r="AE166" s="68"/>
      <c r="AF166" s="68"/>
      <c r="AG166" s="68"/>
      <c r="AH166" s="68"/>
      <c r="AI166" s="68"/>
      <c r="AJ166" s="68"/>
      <c r="AK166" s="68"/>
      <c r="AL166" s="68"/>
      <c r="AM166" s="68"/>
      <c r="AN166" s="68"/>
      <c r="AO166" s="68"/>
    </row>
    <row r="167" customFormat="false" ht="15" hidden="false" customHeight="false" outlineLevel="0" collapsed="false">
      <c r="C167" s="40" t="s">
        <v>614</v>
      </c>
      <c r="D167" s="58"/>
      <c r="E167" s="58"/>
      <c r="F167" s="40"/>
      <c r="G167" s="40"/>
      <c r="H167" s="95" t="n">
        <v>0.19</v>
      </c>
      <c r="I167" s="68"/>
      <c r="J167" s="68"/>
      <c r="K167" s="68"/>
      <c r="L167" s="68"/>
      <c r="N167" s="40"/>
      <c r="O167" s="40"/>
      <c r="P167" s="40"/>
      <c r="Q167" s="40"/>
      <c r="R167" s="40"/>
      <c r="S167" s="40"/>
      <c r="T167" s="40"/>
      <c r="U167" s="40"/>
      <c r="V167" s="40"/>
      <c r="W167" s="40"/>
      <c r="X167" s="68"/>
      <c r="Y167" s="68"/>
      <c r="Z167" s="68"/>
      <c r="AA167" s="68"/>
      <c r="AB167" s="68"/>
      <c r="AC167" s="68"/>
      <c r="AD167" s="68"/>
      <c r="AE167" s="68"/>
      <c r="AF167" s="68"/>
      <c r="AG167" s="68"/>
      <c r="AH167" s="68"/>
      <c r="AI167" s="68"/>
      <c r="AJ167" s="68"/>
      <c r="AK167" s="68"/>
      <c r="AL167" s="68"/>
      <c r="AM167" s="68"/>
      <c r="AN167" s="68"/>
      <c r="AO167" s="68"/>
    </row>
    <row r="168" customFormat="false" ht="15" hidden="false" customHeight="false" outlineLevel="0" collapsed="false">
      <c r="C168" s="40" t="s">
        <v>615</v>
      </c>
      <c r="D168" s="58"/>
      <c r="E168" s="58"/>
      <c r="F168" s="40"/>
      <c r="G168" s="40"/>
      <c r="H168" s="94" t="str">
        <f aca="false">IF(AND(X25&gt;=H166-0.01,X25&lt;=H167+0.01),"In line ("&amp;TEXT(X25,"0.0%")&amp;")","Check ("&amp;TEXT(X25,"0.0%")&amp;")")</f>
        <v>In line (19.2%)</v>
      </c>
      <c r="I168" s="68"/>
      <c r="J168" s="68"/>
      <c r="K168" s="68"/>
      <c r="L168" s="68"/>
      <c r="N168" s="40"/>
      <c r="O168" s="40"/>
      <c r="P168" s="40"/>
      <c r="Q168" s="40"/>
      <c r="R168" s="40"/>
      <c r="S168" s="40"/>
      <c r="T168" s="40"/>
      <c r="U168" s="40"/>
      <c r="V168" s="40"/>
      <c r="W168" s="40"/>
      <c r="X168" s="68"/>
      <c r="Y168" s="68"/>
      <c r="Z168" s="68"/>
      <c r="AA168" s="68"/>
      <c r="AB168" s="68"/>
      <c r="AC168" s="68"/>
      <c r="AD168" s="68"/>
      <c r="AE168" s="68"/>
      <c r="AF168" s="68"/>
      <c r="AG168" s="68"/>
      <c r="AH168" s="68"/>
      <c r="AI168" s="68"/>
      <c r="AJ168" s="68"/>
      <c r="AK168" s="68"/>
      <c r="AL168" s="68"/>
      <c r="AM168" s="68"/>
      <c r="AN168" s="68"/>
      <c r="AO168" s="68"/>
    </row>
    <row r="169" customFormat="false" ht="15" hidden="false" customHeight="false" outlineLevel="0" collapsed="false">
      <c r="C169" s="40" t="s">
        <v>616</v>
      </c>
      <c r="D169" s="58"/>
      <c r="E169" s="58"/>
      <c r="F169" s="40"/>
      <c r="G169" s="40"/>
      <c r="H169" s="95" t="n">
        <v>-0.15</v>
      </c>
      <c r="I169" s="68"/>
      <c r="J169" s="68"/>
      <c r="K169" s="68"/>
      <c r="L169" s="68"/>
      <c r="N169" s="40"/>
      <c r="O169" s="40"/>
      <c r="P169" s="40"/>
      <c r="Q169" s="40"/>
      <c r="R169" s="40"/>
      <c r="S169" s="40"/>
      <c r="T169" s="40"/>
      <c r="U169" s="40"/>
      <c r="V169" s="40"/>
      <c r="W169" s="40"/>
      <c r="X169" s="68"/>
      <c r="Y169" s="68"/>
      <c r="Z169" s="68"/>
      <c r="AA169" s="68"/>
      <c r="AB169" s="68"/>
      <c r="AC169" s="68"/>
      <c r="AD169" s="68"/>
      <c r="AE169" s="68"/>
      <c r="AF169" s="68"/>
      <c r="AG169" s="68"/>
      <c r="AH169" s="68"/>
      <c r="AI169" s="68"/>
      <c r="AJ169" s="68"/>
      <c r="AK169" s="68"/>
      <c r="AL169" s="68"/>
      <c r="AM169" s="68"/>
      <c r="AN169" s="68"/>
      <c r="AO169" s="68"/>
    </row>
    <row r="170" customFormat="false" ht="15" hidden="false" customHeight="false" outlineLevel="0" collapsed="false">
      <c r="C170" s="40" t="s">
        <v>617</v>
      </c>
      <c r="D170" s="58"/>
      <c r="E170" s="58"/>
      <c r="F170" s="40"/>
      <c r="G170" s="40"/>
      <c r="H170" s="95" t="n">
        <v>-0.1</v>
      </c>
      <c r="I170" s="68"/>
      <c r="J170" s="68"/>
      <c r="K170" s="68"/>
      <c r="L170" s="68"/>
      <c r="N170" s="40"/>
      <c r="O170" s="40"/>
      <c r="P170" s="40"/>
      <c r="Q170" s="40"/>
      <c r="R170" s="40"/>
      <c r="S170" s="40"/>
      <c r="T170" s="40"/>
      <c r="U170" s="40"/>
      <c r="V170" s="40"/>
      <c r="W170" s="40"/>
      <c r="X170" s="68"/>
      <c r="Y170" s="68"/>
      <c r="Z170" s="68"/>
      <c r="AA170" s="68"/>
      <c r="AB170" s="68"/>
      <c r="AC170" s="68"/>
      <c r="AD170" s="68"/>
      <c r="AE170" s="68"/>
      <c r="AF170" s="68"/>
      <c r="AG170" s="68"/>
      <c r="AH170" s="68"/>
      <c r="AI170" s="68"/>
      <c r="AJ170" s="68"/>
      <c r="AK170" s="68"/>
      <c r="AL170" s="68"/>
      <c r="AM170" s="68"/>
      <c r="AN170" s="68"/>
      <c r="AO170" s="68"/>
    </row>
    <row r="171" customFormat="false" ht="15" hidden="false" customHeight="false" outlineLevel="0" collapsed="false">
      <c r="C171" s="40" t="s">
        <v>618</v>
      </c>
      <c r="D171" s="58"/>
      <c r="E171" s="58"/>
      <c r="F171" s="40"/>
      <c r="G171" s="40"/>
      <c r="H171" s="94" t="str">
        <f aca="false">IF(AND(H27&gt;=H169-0.02,H27&lt;=H170+0.02),"In line ("&amp;TEXT(H27,"0.0%")&amp;")","Check ("&amp;TEXT(H27,"0.0%")&amp;")")</f>
        <v>In line (-11.8%)</v>
      </c>
      <c r="I171" s="68"/>
      <c r="J171" s="68"/>
      <c r="K171" s="68"/>
      <c r="L171" s="68"/>
      <c r="N171" s="40"/>
      <c r="O171" s="40"/>
      <c r="P171" s="40"/>
      <c r="Q171" s="40"/>
      <c r="R171" s="40"/>
      <c r="S171" s="40"/>
      <c r="T171" s="40"/>
      <c r="U171" s="40"/>
      <c r="V171" s="40"/>
      <c r="W171" s="40"/>
      <c r="X171" s="68"/>
      <c r="Y171" s="68"/>
      <c r="Z171" s="68"/>
      <c r="AA171" s="68"/>
      <c r="AB171" s="68"/>
      <c r="AC171" s="68"/>
      <c r="AD171" s="68"/>
      <c r="AE171" s="68"/>
      <c r="AF171" s="68"/>
      <c r="AG171" s="68"/>
      <c r="AH171" s="68"/>
      <c r="AI171" s="68"/>
      <c r="AJ171" s="68"/>
      <c r="AK171" s="68"/>
      <c r="AL171" s="68"/>
      <c r="AM171" s="68"/>
      <c r="AN171" s="68"/>
      <c r="AO171" s="68"/>
    </row>
    <row r="172" customFormat="false" ht="15" hidden="false" customHeight="false" outlineLevel="0" collapsed="false">
      <c r="C172" s="40" t="s">
        <v>619</v>
      </c>
      <c r="D172" s="58" t="s">
        <v>480</v>
      </c>
      <c r="E172" s="58"/>
      <c r="F172" s="40"/>
      <c r="G172" s="40"/>
      <c r="H172" s="70" t="n">
        <v>125</v>
      </c>
      <c r="I172" s="68"/>
      <c r="J172" s="68"/>
      <c r="K172" s="68"/>
      <c r="L172" s="68"/>
      <c r="N172" s="40"/>
      <c r="O172" s="40"/>
      <c r="P172" s="40"/>
      <c r="Q172" s="40"/>
      <c r="R172" s="40"/>
      <c r="S172" s="40"/>
      <c r="T172" s="40"/>
      <c r="U172" s="40"/>
      <c r="V172" s="40"/>
      <c r="W172" s="40"/>
      <c r="X172" s="68"/>
      <c r="Y172" s="68"/>
      <c r="Z172" s="68"/>
      <c r="AA172" s="68"/>
      <c r="AB172" s="68"/>
      <c r="AC172" s="68"/>
      <c r="AD172" s="68"/>
      <c r="AE172" s="68"/>
      <c r="AF172" s="68"/>
      <c r="AG172" s="68"/>
      <c r="AH172" s="68"/>
      <c r="AI172" s="68"/>
      <c r="AJ172" s="68"/>
      <c r="AK172" s="68"/>
      <c r="AL172" s="68"/>
      <c r="AM172" s="68"/>
      <c r="AN172" s="68"/>
      <c r="AO172" s="68"/>
    </row>
    <row r="173" customFormat="false" ht="15" hidden="false" customHeight="false" outlineLevel="0" collapsed="false">
      <c r="C173" s="40" t="s">
        <v>620</v>
      </c>
      <c r="D173" s="58"/>
      <c r="E173" s="58"/>
      <c r="F173" s="40"/>
      <c r="G173" s="40"/>
      <c r="H173" s="94" t="str">
        <f aca="false">IF(H63&gt;=H172,"At or above target ("&amp;TEXT(H63,"0")&amp;" GW)","Below target ("&amp;TEXT(H63,"0")&amp;" GW)")</f>
        <v>At or above target (129 GW)</v>
      </c>
      <c r="I173" s="68"/>
      <c r="J173" s="68"/>
      <c r="K173" s="68"/>
      <c r="L173" s="68"/>
      <c r="N173" s="40"/>
      <c r="O173" s="40"/>
      <c r="P173" s="40"/>
      <c r="Q173" s="40"/>
      <c r="R173" s="40"/>
      <c r="S173" s="40"/>
      <c r="T173" s="40"/>
      <c r="U173" s="40"/>
      <c r="V173" s="40"/>
      <c r="W173" s="40"/>
      <c r="X173" s="68"/>
      <c r="Y173" s="68"/>
      <c r="Z173" s="68"/>
      <c r="AA173" s="68"/>
      <c r="AB173" s="68"/>
      <c r="AC173" s="68"/>
      <c r="AD173" s="68"/>
      <c r="AE173" s="68"/>
      <c r="AF173" s="68"/>
      <c r="AG173" s="68"/>
      <c r="AH173" s="68"/>
      <c r="AI173" s="68"/>
      <c r="AJ173" s="68"/>
      <c r="AK173" s="68"/>
      <c r="AL173" s="68"/>
      <c r="AM173" s="68"/>
      <c r="AN173" s="68"/>
      <c r="AO173" s="68"/>
    </row>
    <row r="174" customFormat="false" ht="15" hidden="false" customHeight="false" outlineLevel="0" collapsed="false">
      <c r="C174" s="46" t="s">
        <v>621</v>
      </c>
      <c r="D174" s="58"/>
      <c r="E174" s="58"/>
      <c r="F174" s="40"/>
      <c r="G174" s="40"/>
      <c r="H174" s="66" t="n">
        <f aca="false">SUM(X18:Y18)/SUM('GEV Quarterly'!H12:I12)-1</f>
        <v>0.223120607992506</v>
      </c>
      <c r="I174" s="68"/>
      <c r="J174" s="68"/>
      <c r="K174" s="68"/>
      <c r="L174" s="68"/>
      <c r="N174" s="40"/>
      <c r="O174" s="40"/>
      <c r="P174" s="40"/>
      <c r="Q174" s="40"/>
      <c r="R174" s="40"/>
      <c r="S174" s="40"/>
      <c r="T174" s="40"/>
      <c r="U174" s="40"/>
      <c r="V174" s="40"/>
      <c r="W174" s="40"/>
      <c r="X174" s="68"/>
      <c r="Y174" s="68"/>
      <c r="Z174" s="68"/>
      <c r="AA174" s="68"/>
      <c r="AB174" s="68"/>
      <c r="AC174" s="68"/>
      <c r="AD174" s="68"/>
      <c r="AE174" s="68"/>
      <c r="AF174" s="68"/>
      <c r="AG174" s="68"/>
      <c r="AH174" s="68"/>
      <c r="AI174" s="68"/>
      <c r="AJ174" s="68"/>
      <c r="AK174" s="68"/>
      <c r="AL174" s="68"/>
      <c r="AM174" s="68"/>
      <c r="AN174" s="68"/>
      <c r="AO174" s="68"/>
    </row>
    <row r="176" customFormat="false" ht="15" hidden="false" customHeight="false" outlineLevel="0" collapsed="false">
      <c r="C176" s="40" t="s">
        <v>622</v>
      </c>
      <c r="D176" s="58"/>
      <c r="E176" s="58"/>
      <c r="F176" s="40"/>
      <c r="G176" s="40"/>
      <c r="H176" s="68"/>
      <c r="I176" s="68"/>
      <c r="J176" s="62" t="n">
        <f aca="false">INDEX('Key Drivers'!J157:J159,MATCH('Key Drivers'!$D$5,'Key Drivers'!$C157:$C159,0))</f>
        <v>55000</v>
      </c>
      <c r="K176" s="68"/>
      <c r="L176" s="68"/>
      <c r="N176" s="40"/>
      <c r="O176" s="40"/>
      <c r="P176" s="40"/>
      <c r="Q176" s="40"/>
      <c r="R176" s="40"/>
      <c r="S176" s="40"/>
      <c r="T176" s="40"/>
      <c r="U176" s="40"/>
      <c r="V176" s="40"/>
      <c r="W176" s="40"/>
      <c r="X176" s="68"/>
      <c r="Y176" s="68"/>
      <c r="Z176" s="68"/>
      <c r="AA176" s="68"/>
      <c r="AB176" s="68"/>
      <c r="AC176" s="68"/>
      <c r="AD176" s="68"/>
      <c r="AE176" s="68"/>
      <c r="AF176" s="68"/>
      <c r="AG176" s="68"/>
      <c r="AH176" s="68"/>
      <c r="AI176" s="68"/>
      <c r="AJ176" s="68"/>
      <c r="AK176" s="68"/>
      <c r="AL176" s="68"/>
      <c r="AM176" s="68"/>
      <c r="AN176" s="68"/>
      <c r="AO176" s="68"/>
    </row>
    <row r="177" customFormat="false" ht="15" hidden="false" customHeight="false" outlineLevel="0" collapsed="false">
      <c r="C177" s="40" t="s">
        <v>623</v>
      </c>
      <c r="D177" s="58"/>
      <c r="E177" s="58"/>
      <c r="F177" s="40"/>
      <c r="G177" s="40"/>
      <c r="H177" s="68"/>
      <c r="I177" s="68"/>
      <c r="J177" s="62" t="n">
        <f aca="false">J18-J176</f>
        <v>474.501390560472</v>
      </c>
      <c r="K177" s="68"/>
      <c r="L177" s="68"/>
      <c r="N177" s="40"/>
      <c r="O177" s="40"/>
      <c r="P177" s="40"/>
      <c r="Q177" s="40"/>
      <c r="R177" s="40"/>
      <c r="S177" s="40"/>
      <c r="T177" s="40"/>
      <c r="U177" s="40"/>
      <c r="V177" s="40"/>
      <c r="W177" s="40"/>
      <c r="X177" s="68"/>
      <c r="Y177" s="68"/>
      <c r="Z177" s="68"/>
      <c r="AA177" s="68"/>
      <c r="AB177" s="68"/>
      <c r="AC177" s="68"/>
      <c r="AD177" s="68"/>
      <c r="AE177" s="68"/>
      <c r="AF177" s="68"/>
      <c r="AG177" s="68"/>
      <c r="AH177" s="68"/>
      <c r="AI177" s="68"/>
      <c r="AJ177" s="68"/>
      <c r="AK177" s="68"/>
      <c r="AL177" s="68"/>
      <c r="AM177" s="68"/>
      <c r="AN177" s="68"/>
      <c r="AO177" s="68"/>
    </row>
    <row r="178" customFormat="false" ht="15" hidden="false" customHeight="false" outlineLevel="0" collapsed="false">
      <c r="C178" s="46" t="s">
        <v>624</v>
      </c>
      <c r="D178" s="58"/>
      <c r="E178" s="58"/>
      <c r="F178" s="40"/>
      <c r="G178" s="40"/>
      <c r="H178" s="68"/>
      <c r="I178" s="68"/>
      <c r="J178" s="66" t="n">
        <f aca="false">J177/J176</f>
        <v>0.0086272980101904</v>
      </c>
      <c r="K178" s="68"/>
      <c r="L178" s="68"/>
      <c r="N178" s="40"/>
      <c r="O178" s="40"/>
      <c r="P178" s="40"/>
      <c r="Q178" s="40"/>
      <c r="R178" s="40"/>
      <c r="S178" s="40"/>
      <c r="T178" s="40"/>
      <c r="U178" s="40"/>
      <c r="V178" s="40"/>
      <c r="W178" s="40"/>
      <c r="X178" s="68"/>
      <c r="Y178" s="68"/>
      <c r="Z178" s="68"/>
      <c r="AA178" s="68"/>
      <c r="AB178" s="68"/>
      <c r="AC178" s="68"/>
      <c r="AD178" s="68"/>
      <c r="AE178" s="68"/>
      <c r="AF178" s="68"/>
      <c r="AG178" s="68"/>
      <c r="AH178" s="68"/>
      <c r="AI178" s="68"/>
      <c r="AJ178" s="68"/>
      <c r="AK178" s="68"/>
      <c r="AL178" s="68"/>
      <c r="AM178" s="68"/>
      <c r="AN178" s="68"/>
      <c r="AO178" s="68"/>
    </row>
    <row r="180" customFormat="false" ht="15" hidden="false" customHeight="false" outlineLevel="0" collapsed="false">
      <c r="C180" s="48" t="s">
        <v>400</v>
      </c>
      <c r="D180" s="58"/>
      <c r="E180" s="58"/>
    </row>
    <row r="181" customFormat="false" ht="15" hidden="false" customHeight="false" outlineLevel="0" collapsed="false">
      <c r="C181" s="58" t="s">
        <v>625</v>
      </c>
    </row>
    <row r="182" customFormat="false" ht="15" hidden="false" customHeight="false" outlineLevel="0" collapsed="false">
      <c r="C182" s="58" t="s">
        <v>626</v>
      </c>
    </row>
    <row r="183" customFormat="false" ht="15" hidden="false" customHeight="false" outlineLevel="0" collapsed="false">
      <c r="C183" s="58" t="s">
        <v>627</v>
      </c>
    </row>
    <row r="184" customFormat="false" ht="15" hidden="false" customHeight="false" outlineLevel="0" collapsed="false">
      <c r="C184" s="58" t="s">
        <v>628</v>
      </c>
    </row>
    <row r="185" customFormat="false" ht="15" hidden="false" customHeight="false" outlineLevel="0" collapsed="false">
      <c r="C185" s="58" t="s">
        <v>629</v>
      </c>
    </row>
    <row r="186" customFormat="false" ht="15" hidden="false" customHeight="false" outlineLevel="0" collapsed="false">
      <c r="C186" s="58" t="s">
        <v>630</v>
      </c>
    </row>
  </sheetData>
  <mergeCells count="4">
    <mergeCell ref="F6:G6"/>
    <mergeCell ref="H6:L6"/>
    <mergeCell ref="N6:W6"/>
    <mergeCell ref="X6:AO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AO16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66"/>
    <col collapsed="false" customWidth="true" hidden="false" outlineLevel="0" max="4" min="4" style="0" width="8"/>
    <col collapsed="false" customWidth="true" hidden="false" outlineLevel="0" max="5" min="5" style="0" width="36"/>
    <col collapsed="false" customWidth="true" hidden="false" outlineLevel="0" max="12" min="6" style="0" width="12"/>
    <col collapsed="false" customWidth="true" hidden="false" outlineLevel="0" max="13" min="13" style="0" width="2.5"/>
    <col collapsed="false" customWidth="true" hidden="false" outlineLevel="0" max="41" min="14" style="0" width="10.51"/>
  </cols>
  <sheetData>
    <row r="2" customFormat="false" ht="17.35" hidden="false" customHeight="false" outlineLevel="0" collapsed="false">
      <c r="C2" s="55" t="s">
        <v>409</v>
      </c>
    </row>
    <row r="3" customFormat="false" ht="15" hidden="false" customHeight="false" outlineLevel="0" collapsed="false">
      <c r="C3" s="56" t="s">
        <v>631</v>
      </c>
    </row>
    <row r="4" customFormat="false" ht="15" hidden="false" customHeight="false" outlineLevel="0" collapsed="false">
      <c r="C4" s="56" t="s">
        <v>411</v>
      </c>
    </row>
    <row r="5" customFormat="false" ht="15" hidden="false" customHeight="false" outlineLevel="0" collapsed="false">
      <c r="C5" s="96" t="s">
        <v>412</v>
      </c>
      <c r="D5" s="97" t="s">
        <v>632</v>
      </c>
      <c r="E5" s="58" t="str">
        <f aca="false">IF(D5="Base","Base: build-out continues at a Street-like pace. FY28E revenue lands near the thesis base case ($55B).",IF(D5="Bull","Bull: faster build-out, SRAs convert, pricing holds. FY28E revenue lands near the thesis bull case ($58B).","Bear: build-out stalls after 2026. Capex flat then down, SRAs lapse, deliveries slip. FY28E revenue lands near the thesis bear case ($50B)."))</f>
        <v>Base: build-out continues at a Street-like pace. FY28E revenue lands near the thesis base case ($55B).</v>
      </c>
    </row>
    <row r="6" customFormat="false" ht="15" hidden="false" customHeight="false" outlineLevel="0" collapsed="false">
      <c r="C6" s="58" t="s">
        <v>633</v>
      </c>
      <c r="F6" s="59" t="s">
        <v>414</v>
      </c>
      <c r="G6" s="59"/>
      <c r="H6" s="59" t="s">
        <v>415</v>
      </c>
      <c r="I6" s="59"/>
      <c r="J6" s="59"/>
      <c r="K6" s="59"/>
      <c r="L6" s="59"/>
      <c r="N6" s="59" t="s">
        <v>416</v>
      </c>
      <c r="O6" s="59"/>
      <c r="P6" s="59"/>
      <c r="Q6" s="59"/>
      <c r="R6" s="59"/>
      <c r="S6" s="59"/>
      <c r="T6" s="59"/>
      <c r="U6" s="59"/>
      <c r="V6" s="59"/>
      <c r="W6" s="59"/>
      <c r="X6" s="59" t="s">
        <v>417</v>
      </c>
      <c r="Y6" s="59"/>
      <c r="Z6" s="59"/>
      <c r="AA6" s="59"/>
      <c r="AB6" s="59"/>
      <c r="AC6" s="59"/>
      <c r="AD6" s="59"/>
      <c r="AE6" s="59"/>
      <c r="AF6" s="59"/>
      <c r="AG6" s="59"/>
      <c r="AH6" s="59"/>
      <c r="AI6" s="59"/>
      <c r="AJ6" s="59"/>
      <c r="AK6" s="59"/>
      <c r="AL6" s="59"/>
      <c r="AM6" s="59"/>
      <c r="AN6" s="59"/>
      <c r="AO6" s="59"/>
    </row>
    <row r="7" customFormat="false" ht="15" hidden="false" customHeight="false" outlineLevel="0" collapsed="false">
      <c r="C7" s="34" t="s">
        <v>418</v>
      </c>
      <c r="D7" s="34" t="s">
        <v>419</v>
      </c>
      <c r="E7" s="34" t="s">
        <v>420</v>
      </c>
      <c r="F7" s="35" t="s">
        <v>421</v>
      </c>
      <c r="G7" s="35" t="s">
        <v>422</v>
      </c>
      <c r="H7" s="35" t="s">
        <v>423</v>
      </c>
      <c r="I7" s="35" t="s">
        <v>424</v>
      </c>
      <c r="J7" s="35" t="s">
        <v>425</v>
      </c>
      <c r="K7" s="35" t="s">
        <v>426</v>
      </c>
      <c r="L7" s="35" t="s">
        <v>427</v>
      </c>
      <c r="N7" s="35" t="s">
        <v>7</v>
      </c>
      <c r="O7" s="35" t="s">
        <v>8</v>
      </c>
      <c r="P7" s="35" t="s">
        <v>9</v>
      </c>
      <c r="Q7" s="35" t="s">
        <v>10</v>
      </c>
      <c r="R7" s="35" t="s">
        <v>11</v>
      </c>
      <c r="S7" s="35" t="s">
        <v>12</v>
      </c>
      <c r="T7" s="35" t="s">
        <v>13</v>
      </c>
      <c r="U7" s="35" t="s">
        <v>14</v>
      </c>
      <c r="V7" s="35" t="s">
        <v>15</v>
      </c>
      <c r="W7" s="35" t="s">
        <v>16</v>
      </c>
      <c r="X7" s="35" t="s">
        <v>368</v>
      </c>
      <c r="Y7" s="35" t="s">
        <v>369</v>
      </c>
      <c r="Z7" s="35" t="s">
        <v>428</v>
      </c>
      <c r="AA7" s="35" t="s">
        <v>429</v>
      </c>
      <c r="AB7" s="35" t="s">
        <v>430</v>
      </c>
      <c r="AC7" s="35" t="s">
        <v>431</v>
      </c>
      <c r="AD7" s="35" t="s">
        <v>432</v>
      </c>
      <c r="AE7" s="35" t="s">
        <v>433</v>
      </c>
      <c r="AF7" s="35" t="s">
        <v>434</v>
      </c>
      <c r="AG7" s="35" t="s">
        <v>435</v>
      </c>
      <c r="AH7" s="35" t="s">
        <v>436</v>
      </c>
      <c r="AI7" s="35" t="s">
        <v>437</v>
      </c>
      <c r="AJ7" s="35" t="s">
        <v>438</v>
      </c>
      <c r="AK7" s="35" t="s">
        <v>439</v>
      </c>
      <c r="AL7" s="35" t="s">
        <v>440</v>
      </c>
      <c r="AM7" s="35" t="s">
        <v>441</v>
      </c>
      <c r="AN7" s="35" t="s">
        <v>442</v>
      </c>
      <c r="AO7" s="35" t="s">
        <v>443</v>
      </c>
    </row>
    <row r="8" customFormat="false" ht="15" hidden="false" customHeight="false" outlineLevel="0" collapsed="false">
      <c r="C8" s="34" t="s">
        <v>17</v>
      </c>
      <c r="D8" s="34"/>
      <c r="E8" s="34"/>
      <c r="F8" s="60" t="n">
        <v>45657</v>
      </c>
      <c r="G8" s="60" t="n">
        <v>46022</v>
      </c>
      <c r="H8" s="60" t="n">
        <v>46387</v>
      </c>
      <c r="I8" s="60" t="n">
        <v>46752</v>
      </c>
      <c r="J8" s="60" t="n">
        <v>47118</v>
      </c>
      <c r="K8" s="60" t="n">
        <v>47483</v>
      </c>
      <c r="L8" s="60" t="n">
        <v>47848</v>
      </c>
      <c r="N8" s="60" t="n">
        <v>45382</v>
      </c>
      <c r="O8" s="60" t="n">
        <v>45473</v>
      </c>
      <c r="P8" s="60" t="n">
        <v>45565</v>
      </c>
      <c r="Q8" s="60" t="n">
        <v>45657</v>
      </c>
      <c r="R8" s="60" t="n">
        <v>45747</v>
      </c>
      <c r="S8" s="60" t="n">
        <v>45838</v>
      </c>
      <c r="T8" s="60" t="n">
        <v>45930</v>
      </c>
      <c r="U8" s="60" t="n">
        <v>46022</v>
      </c>
      <c r="V8" s="60" t="n">
        <v>46112</v>
      </c>
      <c r="W8" s="60" t="n">
        <v>46203</v>
      </c>
      <c r="X8" s="60" t="n">
        <v>46295</v>
      </c>
      <c r="Y8" s="60" t="n">
        <v>46387</v>
      </c>
      <c r="Z8" s="60" t="n">
        <v>46477</v>
      </c>
      <c r="AA8" s="60" t="n">
        <v>46568</v>
      </c>
      <c r="AB8" s="60" t="n">
        <v>46660</v>
      </c>
      <c r="AC8" s="60" t="n">
        <v>46752</v>
      </c>
      <c r="AD8" s="60" t="n">
        <v>46843</v>
      </c>
      <c r="AE8" s="60" t="n">
        <v>46934</v>
      </c>
      <c r="AF8" s="60" t="n">
        <v>47026</v>
      </c>
      <c r="AG8" s="60" t="n">
        <v>47118</v>
      </c>
      <c r="AH8" s="60" t="n">
        <v>47208</v>
      </c>
      <c r="AI8" s="60" t="n">
        <v>47299</v>
      </c>
      <c r="AJ8" s="60" t="n">
        <v>47391</v>
      </c>
      <c r="AK8" s="60" t="n">
        <v>47483</v>
      </c>
      <c r="AL8" s="60" t="n">
        <v>47573</v>
      </c>
      <c r="AM8" s="60" t="n">
        <v>47664</v>
      </c>
      <c r="AN8" s="60" t="n">
        <v>47756</v>
      </c>
      <c r="AO8" s="60" t="n">
        <v>47848</v>
      </c>
    </row>
    <row r="10" customFormat="false" ht="15" hidden="false" customHeight="false" outlineLevel="0" collapsed="false">
      <c r="C10" s="61" t="s">
        <v>463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row>
    <row r="11" customFormat="false" ht="15" hidden="false" customHeight="false" outlineLevel="0" collapsed="false">
      <c r="C11" s="48" t="s">
        <v>634</v>
      </c>
      <c r="D11" s="58"/>
      <c r="E11" s="58" t="s">
        <v>635</v>
      </c>
      <c r="G11" s="65" t="n">
        <f aca="false">Revenue!G37</f>
        <v>0.636764116940328</v>
      </c>
      <c r="H11" s="66" t="n">
        <f aca="false">Revenue!H37</f>
        <v>0.792268167359922</v>
      </c>
      <c r="I11" s="98" t="n">
        <f aca="false">INDEX(I12:I14,MATCH($D$5,$C12:$C14,0))</f>
        <v>0.25</v>
      </c>
      <c r="J11" s="98" t="n">
        <f aca="false">INDEX(J12:J14,MATCH($D$5,$C12:$C14,0))</f>
        <v>0.1</v>
      </c>
      <c r="K11" s="98" t="n">
        <f aca="false">INDEX(K12:K14,MATCH($D$5,$C12:$C14,0))</f>
        <v>0.05</v>
      </c>
      <c r="L11" s="98" t="n">
        <f aca="false">INDEX(L12:L14,MATCH($D$5,$C12:$C14,0))</f>
        <v>0.03</v>
      </c>
    </row>
    <row r="12" customFormat="false" ht="15" hidden="false" customHeight="false" outlineLevel="0" collapsed="false">
      <c r="C12" s="99" t="s">
        <v>632</v>
      </c>
      <c r="I12" s="100" t="n">
        <v>0.25</v>
      </c>
      <c r="J12" s="100" t="n">
        <v>0.1</v>
      </c>
      <c r="K12" s="100" t="n">
        <v>0.05</v>
      </c>
      <c r="L12" s="100" t="n">
        <v>0.03</v>
      </c>
    </row>
    <row r="13" customFormat="false" ht="15" hidden="false" customHeight="false" outlineLevel="0" collapsed="false">
      <c r="C13" s="99" t="s">
        <v>636</v>
      </c>
      <c r="I13" s="100" t="n">
        <v>0.37</v>
      </c>
      <c r="J13" s="100" t="n">
        <v>0.12</v>
      </c>
      <c r="K13" s="100" t="n">
        <v>0.08</v>
      </c>
      <c r="L13" s="100" t="n">
        <v>0.05</v>
      </c>
    </row>
    <row r="14" customFormat="false" ht="15" hidden="false" customHeight="false" outlineLevel="0" collapsed="false">
      <c r="C14" s="99" t="s">
        <v>637</v>
      </c>
      <c r="I14" s="100" t="n">
        <v>0</v>
      </c>
      <c r="J14" s="100" t="n">
        <v>-0.1</v>
      </c>
      <c r="K14" s="100" t="n">
        <v>-0.05</v>
      </c>
      <c r="L14" s="100" t="n">
        <v>0</v>
      </c>
    </row>
    <row r="16" customFormat="false" ht="15" hidden="false" customHeight="false" outlineLevel="0" collapsed="false">
      <c r="C16" s="48" t="s">
        <v>638</v>
      </c>
      <c r="D16" s="58"/>
      <c r="E16" s="58" t="s">
        <v>639</v>
      </c>
      <c r="G16" s="101" t="n">
        <f aca="false">Revenue!G79</f>
        <v>0.00587227795448985</v>
      </c>
      <c r="H16" s="102" t="n">
        <f aca="false">INDEX(H17:H19,MATCH($D$5,$C17:$C19,0))</f>
        <v>0.0143</v>
      </c>
      <c r="I16" s="102" t="n">
        <f aca="false">INDEX(I17:I19,MATCH($D$5,$C17:$C19,0))</f>
        <v>0.0145</v>
      </c>
      <c r="J16" s="102" t="n">
        <f aca="false">INDEX(J17:J19,MATCH($D$5,$C17:$C19,0))</f>
        <v>0.0145</v>
      </c>
      <c r="K16" s="102" t="n">
        <f aca="false">INDEX(K17:K19,MATCH($D$5,$C17:$C19,0))</f>
        <v>0.014</v>
      </c>
      <c r="L16" s="102" t="n">
        <f aca="false">INDEX(L17:L19,MATCH($D$5,$C17:$C19,0))</f>
        <v>0.014</v>
      </c>
    </row>
    <row r="17" customFormat="false" ht="15" hidden="false" customHeight="false" outlineLevel="0" collapsed="false">
      <c r="C17" s="99" t="s">
        <v>632</v>
      </c>
      <c r="H17" s="103" t="n">
        <v>0.0143</v>
      </c>
      <c r="I17" s="103" t="n">
        <v>0.0145</v>
      </c>
      <c r="J17" s="103" t="n">
        <v>0.0145</v>
      </c>
      <c r="K17" s="103" t="n">
        <v>0.014</v>
      </c>
      <c r="L17" s="103" t="n">
        <v>0.014</v>
      </c>
    </row>
    <row r="18" customFormat="false" ht="15" hidden="false" customHeight="false" outlineLevel="0" collapsed="false">
      <c r="C18" s="99" t="s">
        <v>636</v>
      </c>
      <c r="H18" s="103" t="n">
        <v>0.0147</v>
      </c>
      <c r="I18" s="103" t="n">
        <v>0.015</v>
      </c>
      <c r="J18" s="103" t="n">
        <v>0.0152</v>
      </c>
      <c r="K18" s="103" t="n">
        <v>0.0152</v>
      </c>
      <c r="L18" s="103" t="n">
        <v>0.0152</v>
      </c>
    </row>
    <row r="19" customFormat="false" ht="15" hidden="false" customHeight="false" outlineLevel="0" collapsed="false">
      <c r="C19" s="99" t="s">
        <v>637</v>
      </c>
      <c r="H19" s="103" t="n">
        <v>0.014</v>
      </c>
      <c r="I19" s="103" t="n">
        <v>0.0125</v>
      </c>
      <c r="J19" s="103" t="n">
        <v>0.0115</v>
      </c>
      <c r="K19" s="103" t="n">
        <v>0.011</v>
      </c>
      <c r="L19" s="103" t="n">
        <v>0.011</v>
      </c>
    </row>
    <row r="21" customFormat="false" ht="15" hidden="false" customHeight="false" outlineLevel="0" collapsed="false">
      <c r="C21" s="48" t="s">
        <v>640</v>
      </c>
      <c r="D21" s="58"/>
      <c r="E21" s="58" t="s">
        <v>641</v>
      </c>
      <c r="H21" s="98" t="n">
        <f aca="false">INDEX(H22:H24,MATCH($D$5,$C22:$C24,0))</f>
        <v>-0.08</v>
      </c>
      <c r="I21" s="98" t="n">
        <f aca="false">INDEX(I22:I24,MATCH($D$5,$C22:$C24,0))</f>
        <v>0.05</v>
      </c>
      <c r="J21" s="98" t="n">
        <f aca="false">INDEX(J22:J24,MATCH($D$5,$C22:$C24,0))</f>
        <v>0.05</v>
      </c>
      <c r="K21" s="98" t="n">
        <f aca="false">INDEX(K22:K24,MATCH($D$5,$C22:$C24,0))</f>
        <v>0.04</v>
      </c>
      <c r="L21" s="98" t="n">
        <f aca="false">INDEX(L22:L24,MATCH($D$5,$C22:$C24,0))</f>
        <v>0.03</v>
      </c>
    </row>
    <row r="22" customFormat="false" ht="15" hidden="false" customHeight="false" outlineLevel="0" collapsed="false">
      <c r="C22" s="99" t="s">
        <v>632</v>
      </c>
      <c r="H22" s="100" t="n">
        <v>-0.08</v>
      </c>
      <c r="I22" s="100" t="n">
        <v>0.05</v>
      </c>
      <c r="J22" s="100" t="n">
        <v>0.05</v>
      </c>
      <c r="K22" s="100" t="n">
        <v>0.04</v>
      </c>
      <c r="L22" s="100" t="n">
        <v>0.03</v>
      </c>
    </row>
    <row r="23" customFormat="false" ht="15" hidden="false" customHeight="false" outlineLevel="0" collapsed="false">
      <c r="C23" s="99" t="s">
        <v>636</v>
      </c>
      <c r="H23" s="100" t="n">
        <v>-0.06</v>
      </c>
      <c r="I23" s="100" t="n">
        <v>0.06</v>
      </c>
      <c r="J23" s="100" t="n">
        <v>0.06</v>
      </c>
      <c r="K23" s="100" t="n">
        <v>0.05</v>
      </c>
      <c r="L23" s="100" t="n">
        <v>0.04</v>
      </c>
    </row>
    <row r="24" customFormat="false" ht="15" hidden="false" customHeight="false" outlineLevel="0" collapsed="false">
      <c r="C24" s="99" t="s">
        <v>637</v>
      </c>
      <c r="H24" s="100" t="n">
        <v>-0.09</v>
      </c>
      <c r="I24" s="100" t="n">
        <v>0.01</v>
      </c>
      <c r="J24" s="100" t="n">
        <v>-0.02</v>
      </c>
      <c r="K24" s="100" t="n">
        <v>-0.01</v>
      </c>
      <c r="L24" s="100" t="n">
        <v>0</v>
      </c>
    </row>
    <row r="26" customFormat="false" ht="15" hidden="false" customHeight="false" outlineLevel="0" collapsed="false">
      <c r="C26" s="48" t="s">
        <v>642</v>
      </c>
      <c r="D26" s="58"/>
      <c r="E26" s="58" t="s">
        <v>643</v>
      </c>
      <c r="G26" s="65" t="n">
        <f aca="false">(SUM(Revenue!R91:U91)-$H$96*SUM(Revenue!R90:U90))/(SUM(Revenue!R88:U88)+SUM(Revenue!R89:U89))</f>
        <v>0.0701680626799126</v>
      </c>
      <c r="H26" s="98" t="n">
        <f aca="false">INDEX(H27:H29,MATCH($D$5,$C27:$C29,0))</f>
        <v>0.075</v>
      </c>
      <c r="I26" s="98" t="n">
        <f aca="false">INDEX(I27:I29,MATCH($D$5,$C27:$C29,0))</f>
        <v>0.064</v>
      </c>
      <c r="J26" s="98" t="n">
        <f aca="false">INDEX(J27:J29,MATCH($D$5,$C27:$C29,0))</f>
        <v>0.059</v>
      </c>
      <c r="K26" s="98" t="n">
        <f aca="false">INDEX(K27:K29,MATCH($D$5,$C27:$C29,0))</f>
        <v>0.056</v>
      </c>
      <c r="L26" s="98" t="n">
        <f aca="false">INDEX(L27:L29,MATCH($D$5,$C27:$C29,0))</f>
        <v>0.054</v>
      </c>
    </row>
    <row r="27" customFormat="false" ht="15" hidden="false" customHeight="false" outlineLevel="0" collapsed="false">
      <c r="C27" s="99" t="s">
        <v>632</v>
      </c>
      <c r="H27" s="100" t="n">
        <v>0.075</v>
      </c>
      <c r="I27" s="100" t="n">
        <v>0.064</v>
      </c>
      <c r="J27" s="100" t="n">
        <v>0.059</v>
      </c>
      <c r="K27" s="100" t="n">
        <v>0.056</v>
      </c>
      <c r="L27" s="100" t="n">
        <v>0.054</v>
      </c>
    </row>
    <row r="28" customFormat="false" ht="15" hidden="false" customHeight="false" outlineLevel="0" collapsed="false">
      <c r="C28" s="99" t="s">
        <v>636</v>
      </c>
      <c r="H28" s="100" t="n">
        <v>0.077</v>
      </c>
      <c r="I28" s="100" t="n">
        <v>0.066</v>
      </c>
      <c r="J28" s="100" t="n">
        <v>0.06</v>
      </c>
      <c r="K28" s="100" t="n">
        <v>0.057</v>
      </c>
      <c r="L28" s="100" t="n">
        <v>0.055</v>
      </c>
    </row>
    <row r="29" customFormat="false" ht="15" hidden="false" customHeight="false" outlineLevel="0" collapsed="false">
      <c r="C29" s="99" t="s">
        <v>637</v>
      </c>
      <c r="H29" s="100" t="n">
        <v>0.073</v>
      </c>
      <c r="I29" s="100" t="n">
        <v>0.06</v>
      </c>
      <c r="J29" s="100" t="n">
        <v>0.054</v>
      </c>
      <c r="K29" s="100" t="n">
        <v>0.051</v>
      </c>
      <c r="L29" s="100" t="n">
        <v>0.049</v>
      </c>
    </row>
    <row r="31" customFormat="false" ht="15" hidden="false" customHeight="false" outlineLevel="0" collapsed="false">
      <c r="C31" s="61" t="s">
        <v>644</v>
      </c>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row>
    <row r="32" customFormat="false" ht="15" hidden="false" customHeight="false" outlineLevel="0" collapsed="false">
      <c r="C32" s="48" t="s">
        <v>645</v>
      </c>
      <c r="D32" s="58" t="s">
        <v>480</v>
      </c>
      <c r="E32" s="58" t="s">
        <v>646</v>
      </c>
      <c r="H32" s="72" t="n">
        <f aca="false">INDEX(H33:H35,MATCH($D$5,$C33:$C35,0))</f>
        <v>9</v>
      </c>
      <c r="I32" s="72" t="n">
        <f aca="false">INDEX(I33:I35,MATCH($D$5,$C33:$C35,0))</f>
        <v>7.5</v>
      </c>
      <c r="J32" s="72" t="n">
        <f aca="false">INDEX(J33:J35,MATCH($D$5,$C33:$C35,0))</f>
        <v>6.25</v>
      </c>
      <c r="K32" s="72" t="n">
        <f aca="false">INDEX(K33:K35,MATCH($D$5,$C33:$C35,0))</f>
        <v>5.5</v>
      </c>
      <c r="L32" s="72" t="n">
        <f aca="false">INDEX(L33:L35,MATCH($D$5,$C33:$C35,0))</f>
        <v>5</v>
      </c>
    </row>
    <row r="33" customFormat="false" ht="15" hidden="false" customHeight="false" outlineLevel="0" collapsed="false">
      <c r="C33" s="99" t="s">
        <v>632</v>
      </c>
      <c r="H33" s="80" t="n">
        <v>9</v>
      </c>
      <c r="I33" s="80" t="n">
        <v>7.5</v>
      </c>
      <c r="J33" s="80" t="n">
        <v>6.25</v>
      </c>
      <c r="K33" s="80" t="n">
        <v>5.5</v>
      </c>
      <c r="L33" s="80" t="n">
        <v>5</v>
      </c>
    </row>
    <row r="34" customFormat="false" ht="15" hidden="false" customHeight="false" outlineLevel="0" collapsed="false">
      <c r="C34" s="99" t="s">
        <v>636</v>
      </c>
      <c r="H34" s="80" t="n">
        <v>10.9</v>
      </c>
      <c r="I34" s="80" t="n">
        <v>9</v>
      </c>
      <c r="J34" s="80" t="n">
        <v>8</v>
      </c>
      <c r="K34" s="80" t="n">
        <v>7</v>
      </c>
      <c r="L34" s="80" t="n">
        <v>6.5</v>
      </c>
    </row>
    <row r="35" customFormat="false" ht="15" hidden="false" customHeight="false" outlineLevel="0" collapsed="false">
      <c r="C35" s="99" t="s">
        <v>637</v>
      </c>
      <c r="H35" s="80" t="n">
        <v>5.9</v>
      </c>
      <c r="I35" s="80" t="n">
        <v>3</v>
      </c>
      <c r="J35" s="80" t="n">
        <v>1.5</v>
      </c>
      <c r="K35" s="80" t="n">
        <v>1</v>
      </c>
      <c r="L35" s="80" t="n">
        <v>1</v>
      </c>
    </row>
    <row r="37" customFormat="false" ht="15" hidden="false" customHeight="false" outlineLevel="0" collapsed="false">
      <c r="C37" s="48" t="s">
        <v>647</v>
      </c>
      <c r="D37" s="58"/>
      <c r="E37" s="58" t="s">
        <v>648</v>
      </c>
      <c r="H37" s="98" t="n">
        <f aca="false">INDEX(H38:H40,MATCH($D$5,$C38:$C40,0))</f>
        <v>0.12</v>
      </c>
      <c r="I37" s="98" t="n">
        <f aca="false">INDEX(I38:I40,MATCH($D$5,$C38:$C40,0))</f>
        <v>0.095</v>
      </c>
      <c r="J37" s="98" t="n">
        <f aca="false">INDEX(J38:J40,MATCH($D$5,$C38:$C40,0))</f>
        <v>0.095</v>
      </c>
      <c r="K37" s="98" t="n">
        <f aca="false">INDEX(K38:K40,MATCH($D$5,$C38:$C40,0))</f>
        <v>0.095</v>
      </c>
      <c r="L37" s="98" t="n">
        <f aca="false">INDEX(L38:L40,MATCH($D$5,$C38:$C40,0))</f>
        <v>0.095</v>
      </c>
    </row>
    <row r="38" customFormat="false" ht="15" hidden="false" customHeight="false" outlineLevel="0" collapsed="false">
      <c r="C38" s="99" t="s">
        <v>632</v>
      </c>
      <c r="H38" s="100" t="n">
        <v>0.12</v>
      </c>
      <c r="I38" s="100" t="n">
        <v>0.095</v>
      </c>
      <c r="J38" s="100" t="n">
        <v>0.095</v>
      </c>
      <c r="K38" s="100" t="n">
        <v>0.095</v>
      </c>
      <c r="L38" s="100" t="n">
        <v>0.095</v>
      </c>
    </row>
    <row r="39" customFormat="false" ht="15" hidden="false" customHeight="false" outlineLevel="0" collapsed="false">
      <c r="C39" s="99" t="s">
        <v>636</v>
      </c>
      <c r="H39" s="100" t="n">
        <v>0.125</v>
      </c>
      <c r="I39" s="100" t="n">
        <v>0.105</v>
      </c>
      <c r="J39" s="100" t="n">
        <v>0.105</v>
      </c>
      <c r="K39" s="100" t="n">
        <v>0.105</v>
      </c>
      <c r="L39" s="100" t="n">
        <v>0.105</v>
      </c>
    </row>
    <row r="40" customFormat="false" ht="15" hidden="false" customHeight="false" outlineLevel="0" collapsed="false">
      <c r="C40" s="99" t="s">
        <v>637</v>
      </c>
      <c r="H40" s="100" t="n">
        <v>0.11</v>
      </c>
      <c r="I40" s="100" t="n">
        <v>0.0625</v>
      </c>
      <c r="J40" s="100" t="n">
        <v>0.0625</v>
      </c>
      <c r="K40" s="100" t="n">
        <v>0.0625</v>
      </c>
      <c r="L40" s="100" t="n">
        <v>0.0625</v>
      </c>
    </row>
    <row r="42" customFormat="false" ht="15" hidden="false" customHeight="false" outlineLevel="0" collapsed="false">
      <c r="C42" s="48" t="s">
        <v>649</v>
      </c>
      <c r="D42" s="58"/>
      <c r="E42" s="58" t="s">
        <v>650</v>
      </c>
      <c r="H42" s="102" t="n">
        <f aca="false">INDEX(H43:H45,MATCH($D$5,$C43:$C45,0))</f>
        <v>0</v>
      </c>
      <c r="I42" s="102" t="n">
        <f aca="false">INDEX(I43:I45,MATCH($D$5,$C43:$C45,0))</f>
        <v>0.0075</v>
      </c>
      <c r="J42" s="102" t="n">
        <f aca="false">INDEX(J43:J45,MATCH($D$5,$C43:$C45,0))</f>
        <v>0.0075</v>
      </c>
      <c r="K42" s="102" t="n">
        <f aca="false">INDEX(K43:K45,MATCH($D$5,$C43:$C45,0))</f>
        <v>0.0075</v>
      </c>
      <c r="L42" s="102" t="n">
        <f aca="false">INDEX(L43:L45,MATCH($D$5,$C43:$C45,0))</f>
        <v>0.0075</v>
      </c>
    </row>
    <row r="43" customFormat="false" ht="15" hidden="false" customHeight="false" outlineLevel="0" collapsed="false">
      <c r="C43" s="99" t="s">
        <v>632</v>
      </c>
      <c r="H43" s="103" t="n">
        <v>0</v>
      </c>
      <c r="I43" s="103" t="n">
        <v>0.0075</v>
      </c>
      <c r="J43" s="103" t="n">
        <v>0.0075</v>
      </c>
      <c r="K43" s="103" t="n">
        <v>0.0075</v>
      </c>
      <c r="L43" s="103" t="n">
        <v>0.0075</v>
      </c>
    </row>
    <row r="44" customFormat="false" ht="15" hidden="false" customHeight="false" outlineLevel="0" collapsed="false">
      <c r="C44" s="99" t="s">
        <v>636</v>
      </c>
      <c r="H44" s="103" t="n">
        <v>0</v>
      </c>
      <c r="I44" s="103" t="n">
        <v>0.0025</v>
      </c>
      <c r="J44" s="103" t="n">
        <v>0.0025</v>
      </c>
      <c r="K44" s="103" t="n">
        <v>0.0025</v>
      </c>
      <c r="L44" s="103" t="n">
        <v>0.0025</v>
      </c>
    </row>
    <row r="45" customFormat="false" ht="15" hidden="false" customHeight="false" outlineLevel="0" collapsed="false">
      <c r="C45" s="99" t="s">
        <v>637</v>
      </c>
      <c r="H45" s="103" t="n">
        <v>0</v>
      </c>
      <c r="I45" s="103" t="n">
        <v>0.03</v>
      </c>
      <c r="J45" s="103" t="n">
        <v>0.03</v>
      </c>
      <c r="K45" s="103" t="n">
        <v>0.03</v>
      </c>
      <c r="L45" s="103" t="n">
        <v>0.03</v>
      </c>
    </row>
    <row r="47" customFormat="false" ht="15" hidden="false" customHeight="false" outlineLevel="0" collapsed="false">
      <c r="C47" s="48" t="s">
        <v>651</v>
      </c>
      <c r="D47" s="58" t="s">
        <v>480</v>
      </c>
      <c r="E47" s="58" t="s">
        <v>652</v>
      </c>
      <c r="H47" s="72" t="n">
        <f aca="false">INDEX(H48:H50,MATCH($D$5,$C48:$C50,0))</f>
        <v>2</v>
      </c>
      <c r="I47" s="72" t="n">
        <f aca="false">INDEX(I48:I50,MATCH($D$5,$C48:$C50,0))</f>
        <v>1.5</v>
      </c>
      <c r="J47" s="72" t="n">
        <f aca="false">INDEX(J48:J50,MATCH($D$5,$C48:$C50,0))</f>
        <v>1.5</v>
      </c>
      <c r="K47" s="72" t="n">
        <f aca="false">INDEX(K48:K50,MATCH($D$5,$C48:$C50,0))</f>
        <v>1.5</v>
      </c>
      <c r="L47" s="72" t="n">
        <f aca="false">INDEX(L48:L50,MATCH($D$5,$C48:$C50,0))</f>
        <v>1.5</v>
      </c>
    </row>
    <row r="48" customFormat="false" ht="15" hidden="false" customHeight="false" outlineLevel="0" collapsed="false">
      <c r="C48" s="99" t="s">
        <v>632</v>
      </c>
      <c r="H48" s="80" t="n">
        <v>2</v>
      </c>
      <c r="I48" s="80" t="n">
        <v>1.5</v>
      </c>
      <c r="J48" s="80" t="n">
        <v>1.5</v>
      </c>
      <c r="K48" s="80" t="n">
        <v>1.5</v>
      </c>
      <c r="L48" s="80" t="n">
        <v>1.5</v>
      </c>
    </row>
    <row r="49" customFormat="false" ht="15" hidden="false" customHeight="false" outlineLevel="0" collapsed="false">
      <c r="C49" s="99" t="s">
        <v>636</v>
      </c>
      <c r="H49" s="80" t="n">
        <v>2</v>
      </c>
      <c r="I49" s="80" t="n">
        <v>2</v>
      </c>
      <c r="J49" s="80" t="n">
        <v>2</v>
      </c>
      <c r="K49" s="80" t="n">
        <v>2</v>
      </c>
      <c r="L49" s="80" t="n">
        <v>2</v>
      </c>
    </row>
    <row r="50" customFormat="false" ht="15" hidden="false" customHeight="false" outlineLevel="0" collapsed="false">
      <c r="C50" s="99" t="s">
        <v>637</v>
      </c>
      <c r="H50" s="80" t="n">
        <v>1.5</v>
      </c>
      <c r="I50" s="80" t="n">
        <v>1</v>
      </c>
      <c r="J50" s="80" t="n">
        <v>0.75</v>
      </c>
      <c r="K50" s="80" t="n">
        <v>0.75</v>
      </c>
      <c r="L50" s="80" t="n">
        <v>0.75</v>
      </c>
    </row>
    <row r="52" customFormat="false" ht="15" hidden="false" customHeight="false" outlineLevel="0" collapsed="false">
      <c r="C52" s="48" t="s">
        <v>653</v>
      </c>
      <c r="D52" s="58"/>
      <c r="E52" s="58" t="s">
        <v>654</v>
      </c>
      <c r="H52" s="102" t="n">
        <f aca="false">INDEX(H53:H55,MATCH($D$5,$C53:$C55,0))</f>
        <v>0.00125</v>
      </c>
      <c r="I52" s="102" t="n">
        <f aca="false">INDEX(I53:I55,MATCH($D$5,$C53:$C55,0))</f>
        <v>0.00125</v>
      </c>
      <c r="J52" s="102" t="n">
        <f aca="false">INDEX(J53:J55,MATCH($D$5,$C53:$C55,0))</f>
        <v>0.00125</v>
      </c>
      <c r="K52" s="102" t="n">
        <f aca="false">INDEX(K53:K55,MATCH($D$5,$C53:$C55,0))</f>
        <v>0.00125</v>
      </c>
      <c r="L52" s="102" t="n">
        <f aca="false">INDEX(L53:L55,MATCH($D$5,$C53:$C55,0))</f>
        <v>0.00125</v>
      </c>
    </row>
    <row r="53" customFormat="false" ht="15" hidden="false" customHeight="false" outlineLevel="0" collapsed="false">
      <c r="C53" s="99" t="s">
        <v>632</v>
      </c>
      <c r="H53" s="103" t="n">
        <v>0.00125</v>
      </c>
      <c r="I53" s="103" t="n">
        <v>0.00125</v>
      </c>
      <c r="J53" s="103" t="n">
        <v>0.00125</v>
      </c>
      <c r="K53" s="103" t="n">
        <v>0.00125</v>
      </c>
      <c r="L53" s="103" t="n">
        <v>0.00125</v>
      </c>
    </row>
    <row r="54" customFormat="false" ht="15" hidden="false" customHeight="false" outlineLevel="0" collapsed="false">
      <c r="C54" s="99" t="s">
        <v>636</v>
      </c>
      <c r="H54" s="103" t="n">
        <v>0</v>
      </c>
      <c r="I54" s="103" t="n">
        <v>0</v>
      </c>
      <c r="J54" s="103" t="n">
        <v>0</v>
      </c>
      <c r="K54" s="103" t="n">
        <v>0</v>
      </c>
      <c r="L54" s="103" t="n">
        <v>0</v>
      </c>
    </row>
    <row r="55" customFormat="false" ht="15" hidden="false" customHeight="false" outlineLevel="0" collapsed="false">
      <c r="C55" s="99" t="s">
        <v>637</v>
      </c>
      <c r="H55" s="103" t="n">
        <v>0.0025</v>
      </c>
      <c r="I55" s="103" t="n">
        <v>0.005</v>
      </c>
      <c r="J55" s="103" t="n">
        <v>0.01</v>
      </c>
      <c r="K55" s="103" t="n">
        <v>0.0125</v>
      </c>
      <c r="L55" s="103" t="n">
        <v>0.0125</v>
      </c>
    </row>
    <row r="57" customFormat="false" ht="15" hidden="false" customHeight="false" outlineLevel="0" collapsed="false">
      <c r="C57" s="48" t="s">
        <v>655</v>
      </c>
      <c r="D57" s="58"/>
      <c r="E57" s="58" t="s">
        <v>656</v>
      </c>
      <c r="H57" s="98" t="n">
        <f aca="false">INDEX(H58:H60,MATCH($D$5,$C58:$C60,0))</f>
        <v>0.96</v>
      </c>
      <c r="I57" s="98" t="n">
        <f aca="false">INDEX(I58:I60,MATCH($D$5,$C58:$C60,0))</f>
        <v>0.93</v>
      </c>
      <c r="J57" s="98" t="n">
        <f aca="false">INDEX(J58:J60,MATCH($D$5,$C58:$C60,0))</f>
        <v>0.92</v>
      </c>
      <c r="K57" s="98" t="n">
        <f aca="false">INDEX(K58:K60,MATCH($D$5,$C58:$C60,0))</f>
        <v>0.92</v>
      </c>
      <c r="L57" s="98" t="n">
        <f aca="false">INDEX(L58:L60,MATCH($D$5,$C58:$C60,0))</f>
        <v>0.92</v>
      </c>
    </row>
    <row r="58" customFormat="false" ht="15" hidden="false" customHeight="false" outlineLevel="0" collapsed="false">
      <c r="C58" s="99" t="s">
        <v>632</v>
      </c>
      <c r="H58" s="100" t="n">
        <v>0.96</v>
      </c>
      <c r="I58" s="100" t="n">
        <v>0.93</v>
      </c>
      <c r="J58" s="100" t="n">
        <v>0.92</v>
      </c>
      <c r="K58" s="100" t="n">
        <v>0.92</v>
      </c>
      <c r="L58" s="100" t="n">
        <v>0.92</v>
      </c>
    </row>
    <row r="59" customFormat="false" ht="15" hidden="false" customHeight="false" outlineLevel="0" collapsed="false">
      <c r="C59" s="99" t="s">
        <v>636</v>
      </c>
      <c r="H59" s="100" t="n">
        <v>0.98</v>
      </c>
      <c r="I59" s="100" t="n">
        <v>0.96</v>
      </c>
      <c r="J59" s="100" t="n">
        <v>0.95</v>
      </c>
      <c r="K59" s="100" t="n">
        <v>0.95</v>
      </c>
      <c r="L59" s="100" t="n">
        <v>0.95</v>
      </c>
    </row>
    <row r="60" customFormat="false" ht="15" hidden="false" customHeight="false" outlineLevel="0" collapsed="false">
      <c r="C60" s="99" t="s">
        <v>637</v>
      </c>
      <c r="H60" s="100" t="n">
        <v>0.955</v>
      </c>
      <c r="I60" s="100" t="n">
        <v>0.9</v>
      </c>
      <c r="J60" s="100" t="n">
        <v>0.86</v>
      </c>
      <c r="K60" s="100" t="n">
        <v>0.84</v>
      </c>
      <c r="L60" s="100" t="n">
        <v>0.84</v>
      </c>
    </row>
    <row r="62" customFormat="false" ht="15" hidden="false" customHeight="false" outlineLevel="0" collapsed="false">
      <c r="C62" s="48" t="s">
        <v>657</v>
      </c>
      <c r="D62" s="58"/>
      <c r="E62" s="58" t="s">
        <v>658</v>
      </c>
      <c r="H62" s="102" t="n">
        <f aca="false">INDEX(H63:H65,MATCH($D$5,$C63:$C65,0))</f>
        <v>0.11</v>
      </c>
      <c r="I62" s="102" t="n">
        <f aca="false">INDEX(I63:I65,MATCH($D$5,$C63:$C65,0))</f>
        <v>0.008</v>
      </c>
      <c r="J62" s="102" t="n">
        <f aca="false">INDEX(J63:J65,MATCH($D$5,$C63:$C65,0))</f>
        <v>0.007</v>
      </c>
      <c r="K62" s="102" t="n">
        <f aca="false">INDEX(K63:K65,MATCH($D$5,$C63:$C65,0))</f>
        <v>0.006</v>
      </c>
      <c r="L62" s="102" t="n">
        <f aca="false">INDEX(L63:L65,MATCH($D$5,$C63:$C65,0))</f>
        <v>0.005</v>
      </c>
    </row>
    <row r="63" customFormat="false" ht="15" hidden="false" customHeight="false" outlineLevel="0" collapsed="false">
      <c r="C63" s="99" t="s">
        <v>632</v>
      </c>
      <c r="H63" s="103" t="n">
        <v>0.11</v>
      </c>
      <c r="I63" s="103" t="n">
        <v>0.008</v>
      </c>
      <c r="J63" s="103" t="n">
        <v>0.007</v>
      </c>
      <c r="K63" s="103" t="n">
        <v>0.006</v>
      </c>
      <c r="L63" s="103" t="n">
        <v>0.005</v>
      </c>
    </row>
    <row r="64" customFormat="false" ht="15" hidden="false" customHeight="false" outlineLevel="0" collapsed="false">
      <c r="C64" s="99" t="s">
        <v>636</v>
      </c>
      <c r="H64" s="103" t="n">
        <v>0.12</v>
      </c>
      <c r="I64" s="103" t="n">
        <v>0.01</v>
      </c>
      <c r="J64" s="103" t="n">
        <v>0.008</v>
      </c>
      <c r="K64" s="103" t="n">
        <v>0.007</v>
      </c>
      <c r="L64" s="103" t="n">
        <v>0.006</v>
      </c>
    </row>
    <row r="65" customFormat="false" ht="15" hidden="false" customHeight="false" outlineLevel="0" collapsed="false">
      <c r="C65" s="99" t="s">
        <v>637</v>
      </c>
      <c r="H65" s="103" t="n">
        <v>0.1</v>
      </c>
      <c r="I65" s="103" t="n">
        <v>0.005</v>
      </c>
      <c r="J65" s="103" t="n">
        <v>0.003</v>
      </c>
      <c r="K65" s="103" t="n">
        <v>0.001</v>
      </c>
      <c r="L65" s="103" t="n">
        <v>0</v>
      </c>
    </row>
    <row r="67" customFormat="false" ht="15" hidden="false" customHeight="false" outlineLevel="0" collapsed="false">
      <c r="C67" s="61" t="s">
        <v>659</v>
      </c>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row>
    <row r="68" customFormat="false" ht="15" hidden="false" customHeight="false" outlineLevel="0" collapsed="false">
      <c r="C68" s="48" t="s">
        <v>660</v>
      </c>
      <c r="D68" s="58"/>
      <c r="E68" s="58" t="s">
        <v>661</v>
      </c>
      <c r="G68" s="65" t="n">
        <f aca="false">Revenue!G74</f>
        <v>0.0528542914171657</v>
      </c>
      <c r="H68" s="98" t="n">
        <f aca="false">INDEX(H69:H71,MATCH($D$5,$C69:$C71,0))</f>
        <v>0.07</v>
      </c>
      <c r="I68" s="98" t="n">
        <f aca="false">INDEX(I69:I71,MATCH($D$5,$C69:$C71,0))</f>
        <v>0.05</v>
      </c>
      <c r="J68" s="98" t="n">
        <f aca="false">INDEX(J69:J71,MATCH($D$5,$C69:$C71,0))</f>
        <v>0.045</v>
      </c>
      <c r="K68" s="98" t="n">
        <f aca="false">INDEX(K69:K71,MATCH($D$5,$C69:$C71,0))</f>
        <v>0.04</v>
      </c>
      <c r="L68" s="98" t="n">
        <f aca="false">INDEX(L69:L71,MATCH($D$5,$C69:$C71,0))</f>
        <v>0.04</v>
      </c>
    </row>
    <row r="69" customFormat="false" ht="15" hidden="false" customHeight="false" outlineLevel="0" collapsed="false">
      <c r="C69" s="99" t="s">
        <v>632</v>
      </c>
      <c r="H69" s="100" t="n">
        <v>0.07</v>
      </c>
      <c r="I69" s="100" t="n">
        <v>0.05</v>
      </c>
      <c r="J69" s="100" t="n">
        <v>0.045</v>
      </c>
      <c r="K69" s="100" t="n">
        <v>0.04</v>
      </c>
      <c r="L69" s="100" t="n">
        <v>0.04</v>
      </c>
    </row>
    <row r="70" customFormat="false" ht="15" hidden="false" customHeight="false" outlineLevel="0" collapsed="false">
      <c r="C70" s="99" t="s">
        <v>636</v>
      </c>
      <c r="H70" s="100" t="n">
        <v>0.072</v>
      </c>
      <c r="I70" s="100" t="n">
        <v>0.052</v>
      </c>
      <c r="J70" s="100" t="n">
        <v>0.047</v>
      </c>
      <c r="K70" s="100" t="n">
        <v>0.043</v>
      </c>
      <c r="L70" s="100" t="n">
        <v>0.043</v>
      </c>
    </row>
    <row r="71" customFormat="false" ht="15" hidden="false" customHeight="false" outlineLevel="0" collapsed="false">
      <c r="C71" s="99" t="s">
        <v>637</v>
      </c>
      <c r="H71" s="100" t="n">
        <v>0.065</v>
      </c>
      <c r="I71" s="100" t="n">
        <v>0.035</v>
      </c>
      <c r="J71" s="100" t="n">
        <v>0.025</v>
      </c>
      <c r="K71" s="100" t="n">
        <v>0.025</v>
      </c>
      <c r="L71" s="100" t="n">
        <v>0.025</v>
      </c>
    </row>
    <row r="73" customFormat="false" ht="15" hidden="false" customHeight="false" outlineLevel="0" collapsed="false">
      <c r="C73" s="48" t="s">
        <v>662</v>
      </c>
      <c r="D73" s="58"/>
      <c r="E73" s="58" t="s">
        <v>663</v>
      </c>
      <c r="G73" s="65" t="n">
        <f aca="false">Revenue!G99</f>
        <v>0.133333333333333</v>
      </c>
      <c r="H73" s="98" t="n">
        <f aca="false">INDEX(H74:H76,MATCH($D$5,$C74:$C76,0))</f>
        <v>0.04</v>
      </c>
      <c r="I73" s="98" t="n">
        <f aca="false">INDEX(I74:I76,MATCH($D$5,$C74:$C76,0))</f>
        <v>0.05</v>
      </c>
      <c r="J73" s="98" t="n">
        <f aca="false">INDEX(J74:J76,MATCH($D$5,$C74:$C76,0))</f>
        <v>0.05</v>
      </c>
      <c r="K73" s="98" t="n">
        <f aca="false">INDEX(K74:K76,MATCH($D$5,$C74:$C76,0))</f>
        <v>0.05</v>
      </c>
      <c r="L73" s="98" t="n">
        <f aca="false">INDEX(L74:L76,MATCH($D$5,$C74:$C76,0))</f>
        <v>0.05</v>
      </c>
    </row>
    <row r="74" customFormat="false" ht="15" hidden="false" customHeight="false" outlineLevel="0" collapsed="false">
      <c r="C74" s="99" t="s">
        <v>632</v>
      </c>
      <c r="H74" s="100" t="n">
        <v>0.04</v>
      </c>
      <c r="I74" s="100" t="n">
        <v>0.05</v>
      </c>
      <c r="J74" s="100" t="n">
        <v>0.05</v>
      </c>
      <c r="K74" s="100" t="n">
        <v>0.05</v>
      </c>
      <c r="L74" s="100" t="n">
        <v>0.05</v>
      </c>
    </row>
    <row r="75" customFormat="false" ht="15" hidden="false" customHeight="false" outlineLevel="0" collapsed="false">
      <c r="C75" s="99" t="s">
        <v>636</v>
      </c>
      <c r="H75" s="100" t="n">
        <v>0.05</v>
      </c>
      <c r="I75" s="100" t="n">
        <v>0.07</v>
      </c>
      <c r="J75" s="100" t="n">
        <v>0.07</v>
      </c>
      <c r="K75" s="100" t="n">
        <v>0.06</v>
      </c>
      <c r="L75" s="100" t="n">
        <v>0.06</v>
      </c>
    </row>
    <row r="76" customFormat="false" ht="15" hidden="false" customHeight="false" outlineLevel="0" collapsed="false">
      <c r="C76" s="99" t="s">
        <v>637</v>
      </c>
      <c r="H76" s="100" t="n">
        <v>0.03</v>
      </c>
      <c r="I76" s="100" t="n">
        <v>0.02</v>
      </c>
      <c r="J76" s="100" t="n">
        <v>0.01</v>
      </c>
      <c r="K76" s="100" t="n">
        <v>0.01</v>
      </c>
      <c r="L76" s="100" t="n">
        <v>0.01</v>
      </c>
    </row>
    <row r="78" customFormat="false" ht="15" hidden="false" customHeight="false" outlineLevel="0" collapsed="false">
      <c r="C78" s="61" t="s">
        <v>550</v>
      </c>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row>
    <row r="79" customFormat="false" ht="15" hidden="false" customHeight="false" outlineLevel="0" collapsed="false">
      <c r="C79" s="48" t="s">
        <v>664</v>
      </c>
      <c r="D79" s="58" t="s">
        <v>480</v>
      </c>
      <c r="E79" s="58" t="s">
        <v>665</v>
      </c>
      <c r="H79" s="72" t="n">
        <f aca="false">INDEX(H80:H82,MATCH($D$5,$C80:$C82,0))</f>
        <v>5</v>
      </c>
      <c r="I79" s="72" t="n">
        <f aca="false">INDEX(I80:I82,MATCH($D$5,$C80:$C82,0))</f>
        <v>3.9</v>
      </c>
      <c r="J79" s="72" t="n">
        <f aca="false">INDEX(J80:J82,MATCH($D$5,$C80:$C82,0))</f>
        <v>3.4</v>
      </c>
      <c r="K79" s="72" t="n">
        <f aca="false">INDEX(K80:K82,MATCH($D$5,$C80:$C82,0))</f>
        <v>3.2</v>
      </c>
      <c r="L79" s="72" t="n">
        <f aca="false">INDEX(L80:L82,MATCH($D$5,$C80:$C82,0))</f>
        <v>3.2</v>
      </c>
    </row>
    <row r="80" customFormat="false" ht="15" hidden="false" customHeight="false" outlineLevel="0" collapsed="false">
      <c r="C80" s="99" t="s">
        <v>632</v>
      </c>
      <c r="H80" s="80" t="n">
        <v>5</v>
      </c>
      <c r="I80" s="80" t="n">
        <v>3.9</v>
      </c>
      <c r="J80" s="80" t="n">
        <v>3.4</v>
      </c>
      <c r="K80" s="80" t="n">
        <v>3.2</v>
      </c>
      <c r="L80" s="80" t="n">
        <v>3.2</v>
      </c>
    </row>
    <row r="81" customFormat="false" ht="15" hidden="false" customHeight="false" outlineLevel="0" collapsed="false">
      <c r="C81" s="99" t="s">
        <v>636</v>
      </c>
      <c r="H81" s="80" t="n">
        <v>5.2</v>
      </c>
      <c r="I81" s="80" t="n">
        <v>4.6</v>
      </c>
      <c r="J81" s="80" t="n">
        <v>4.3</v>
      </c>
      <c r="K81" s="80" t="n">
        <v>4.2</v>
      </c>
      <c r="L81" s="80" t="n">
        <v>4.2</v>
      </c>
    </row>
    <row r="82" customFormat="false" ht="15" hidden="false" customHeight="false" outlineLevel="0" collapsed="false">
      <c r="C82" s="99" t="s">
        <v>637</v>
      </c>
      <c r="H82" s="80" t="n">
        <v>4.8</v>
      </c>
      <c r="I82" s="80" t="n">
        <v>3.5</v>
      </c>
      <c r="J82" s="80" t="n">
        <v>2.9</v>
      </c>
      <c r="K82" s="80" t="n">
        <v>2.5</v>
      </c>
      <c r="L82" s="80" t="n">
        <v>2.4</v>
      </c>
    </row>
    <row r="84" customFormat="false" ht="15" hidden="false" customHeight="false" outlineLevel="0" collapsed="false">
      <c r="C84" s="48" t="s">
        <v>666</v>
      </c>
      <c r="D84" s="58"/>
      <c r="E84" s="58" t="s">
        <v>667</v>
      </c>
      <c r="H84" s="98" t="n">
        <f aca="false">INDEX(H85:H87,MATCH($D$5,$C85:$C87,0))</f>
        <v>0.065</v>
      </c>
      <c r="I84" s="98" t="n">
        <f aca="false">INDEX(I85:I87,MATCH($D$5,$C85:$C87,0))</f>
        <v>0.01</v>
      </c>
      <c r="J84" s="98" t="n">
        <f aca="false">INDEX(J85:J87,MATCH($D$5,$C85:$C87,0))</f>
        <v>0.01</v>
      </c>
      <c r="K84" s="98" t="n">
        <f aca="false">INDEX(K85:K87,MATCH($D$5,$C85:$C87,0))</f>
        <v>0.01</v>
      </c>
      <c r="L84" s="98" t="n">
        <f aca="false">INDEX(L85:L87,MATCH($D$5,$C85:$C87,0))</f>
        <v>0.01</v>
      </c>
    </row>
    <row r="85" customFormat="false" ht="15" hidden="false" customHeight="false" outlineLevel="0" collapsed="false">
      <c r="C85" s="99" t="s">
        <v>632</v>
      </c>
      <c r="H85" s="100" t="n">
        <v>0.065</v>
      </c>
      <c r="I85" s="100" t="n">
        <v>0.01</v>
      </c>
      <c r="J85" s="100" t="n">
        <v>0.01</v>
      </c>
      <c r="K85" s="100" t="n">
        <v>0.01</v>
      </c>
      <c r="L85" s="100" t="n">
        <v>0.01</v>
      </c>
    </row>
    <row r="86" customFormat="false" ht="15" hidden="false" customHeight="false" outlineLevel="0" collapsed="false">
      <c r="C86" s="99" t="s">
        <v>636</v>
      </c>
      <c r="H86" s="100" t="n">
        <v>0.07</v>
      </c>
      <c r="I86" s="100" t="n">
        <v>0.02</v>
      </c>
      <c r="J86" s="100" t="n">
        <v>0.02</v>
      </c>
      <c r="K86" s="100" t="n">
        <v>0.02</v>
      </c>
      <c r="L86" s="100" t="n">
        <v>0.02</v>
      </c>
    </row>
    <row r="87" customFormat="false" ht="15" hidden="false" customHeight="false" outlineLevel="0" collapsed="false">
      <c r="C87" s="99" t="s">
        <v>637</v>
      </c>
      <c r="H87" s="100" t="n">
        <v>0.06</v>
      </c>
      <c r="I87" s="100" t="n">
        <v>0</v>
      </c>
      <c r="J87" s="100" t="n">
        <v>0</v>
      </c>
      <c r="K87" s="100" t="n">
        <v>0</v>
      </c>
      <c r="L87" s="100" t="n">
        <v>0</v>
      </c>
    </row>
    <row r="89" customFormat="false" ht="15" hidden="false" customHeight="false" outlineLevel="0" collapsed="false">
      <c r="C89" s="48" t="s">
        <v>668</v>
      </c>
      <c r="D89" s="58"/>
      <c r="E89" s="58" t="s">
        <v>669</v>
      </c>
      <c r="H89" s="98" t="n">
        <f aca="false">INDEX(H90:H92,MATCH($D$5,$C90:$C92,0))</f>
        <v>0.25</v>
      </c>
      <c r="I89" s="98" t="n">
        <f aca="false">INDEX(I90:I92,MATCH($D$5,$C90:$C92,0))</f>
        <v>0.04</v>
      </c>
      <c r="J89" s="98" t="n">
        <f aca="false">INDEX(J90:J92,MATCH($D$5,$C90:$C92,0))</f>
        <v>0.03</v>
      </c>
      <c r="K89" s="98" t="n">
        <f aca="false">INDEX(K90:K92,MATCH($D$5,$C90:$C92,0))</f>
        <v>0.03</v>
      </c>
      <c r="L89" s="98" t="n">
        <f aca="false">INDEX(L90:L92,MATCH($D$5,$C90:$C92,0))</f>
        <v>0.03</v>
      </c>
    </row>
    <row r="90" customFormat="false" ht="15" hidden="false" customHeight="false" outlineLevel="0" collapsed="false">
      <c r="C90" s="99" t="s">
        <v>632</v>
      </c>
      <c r="H90" s="100" t="n">
        <v>0.25</v>
      </c>
      <c r="I90" s="100" t="n">
        <v>0.04</v>
      </c>
      <c r="J90" s="100" t="n">
        <v>0.03</v>
      </c>
      <c r="K90" s="100" t="n">
        <v>0.03</v>
      </c>
      <c r="L90" s="100" t="n">
        <v>0.03</v>
      </c>
    </row>
    <row r="91" customFormat="false" ht="15" hidden="false" customHeight="false" outlineLevel="0" collapsed="false">
      <c r="C91" s="99" t="s">
        <v>636</v>
      </c>
      <c r="H91" s="100" t="n">
        <v>0.26</v>
      </c>
      <c r="I91" s="100" t="n">
        <v>0.06</v>
      </c>
      <c r="J91" s="100" t="n">
        <v>0.05</v>
      </c>
      <c r="K91" s="100" t="n">
        <v>0.05</v>
      </c>
      <c r="L91" s="100" t="n">
        <v>0.05</v>
      </c>
    </row>
    <row r="92" customFormat="false" ht="15" hidden="false" customHeight="false" outlineLevel="0" collapsed="false">
      <c r="C92" s="99" t="s">
        <v>637</v>
      </c>
      <c r="H92" s="100" t="n">
        <v>0.24</v>
      </c>
      <c r="I92" s="100" t="n">
        <v>0.01</v>
      </c>
      <c r="J92" s="100" t="n">
        <v>0</v>
      </c>
      <c r="K92" s="100" t="n">
        <v>0</v>
      </c>
      <c r="L92" s="100" t="n">
        <v>0</v>
      </c>
    </row>
    <row r="94" customFormat="false" ht="15" hidden="false" customHeight="false" outlineLevel="0" collapsed="false">
      <c r="C94" s="61" t="s">
        <v>670</v>
      </c>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row>
    <row r="95" customFormat="false" ht="15" hidden="false" customHeight="false" outlineLevel="0" collapsed="false">
      <c r="C95" s="40" t="s">
        <v>671</v>
      </c>
      <c r="D95" s="58" t="s">
        <v>480</v>
      </c>
      <c r="E95" s="58" t="s">
        <v>672</v>
      </c>
      <c r="H95" s="77" t="n">
        <f aca="false">SUM(X95:Y95)</f>
        <v>9.5</v>
      </c>
      <c r="I95" s="77" t="n">
        <f aca="false">SUM(Z95:AC95)</f>
        <v>21</v>
      </c>
      <c r="J95" s="77" t="n">
        <f aca="false">SUM(AD95:AG95)</f>
        <v>24</v>
      </c>
      <c r="K95" s="77" t="n">
        <f aca="false">SUM(AH95:AK95)</f>
        <v>27</v>
      </c>
      <c r="L95" s="77" t="n">
        <f aca="false">SUM(AL95:AO95)</f>
        <v>30</v>
      </c>
      <c r="X95" s="80" t="n">
        <v>4.5</v>
      </c>
      <c r="Y95" s="80" t="n">
        <v>5</v>
      </c>
      <c r="Z95" s="80" t="n">
        <v>5</v>
      </c>
      <c r="AA95" s="80" t="n">
        <v>5.2</v>
      </c>
      <c r="AB95" s="80" t="n">
        <v>5.3</v>
      </c>
      <c r="AC95" s="80" t="n">
        <v>5.5</v>
      </c>
      <c r="AD95" s="80" t="n">
        <v>5.7</v>
      </c>
      <c r="AE95" s="80" t="n">
        <v>5.9</v>
      </c>
      <c r="AF95" s="80" t="n">
        <v>6.1</v>
      </c>
      <c r="AG95" s="80" t="n">
        <v>6.3</v>
      </c>
      <c r="AH95" s="80" t="n">
        <v>6.4</v>
      </c>
      <c r="AI95" s="80" t="n">
        <v>6.65</v>
      </c>
      <c r="AJ95" s="80" t="n">
        <v>6.85</v>
      </c>
      <c r="AK95" s="80" t="n">
        <v>7.1</v>
      </c>
      <c r="AL95" s="80" t="n">
        <v>7.2</v>
      </c>
      <c r="AM95" s="80" t="n">
        <v>7.4</v>
      </c>
      <c r="AN95" s="80" t="n">
        <v>7.6</v>
      </c>
      <c r="AO95" s="80" t="n">
        <v>7.8</v>
      </c>
    </row>
    <row r="96" customFormat="false" ht="15" hidden="false" customHeight="false" outlineLevel="0" collapsed="false">
      <c r="C96" s="40" t="s">
        <v>673</v>
      </c>
      <c r="D96" s="58"/>
      <c r="E96" s="58" t="s">
        <v>674</v>
      </c>
      <c r="H96" s="100" t="n">
        <v>0.05</v>
      </c>
      <c r="I96" s="100" t="n">
        <v>0.05</v>
      </c>
      <c r="J96" s="100" t="n">
        <v>0.05</v>
      </c>
      <c r="K96" s="100" t="n">
        <v>0.05</v>
      </c>
      <c r="L96" s="100" t="n">
        <v>0.05</v>
      </c>
    </row>
    <row r="97" customFormat="false" ht="15" hidden="false" customHeight="false" outlineLevel="0" collapsed="false">
      <c r="C97" s="40" t="s">
        <v>675</v>
      </c>
      <c r="D97" s="58"/>
      <c r="E97" s="58" t="s">
        <v>676</v>
      </c>
      <c r="H97" s="100" t="n">
        <v>0.005</v>
      </c>
      <c r="I97" s="100" t="n">
        <v>0.005</v>
      </c>
      <c r="J97" s="100" t="n">
        <v>0.005</v>
      </c>
      <c r="K97" s="100" t="n">
        <v>0.005</v>
      </c>
      <c r="L97" s="100" t="n">
        <v>0.005</v>
      </c>
    </row>
    <row r="99" customFormat="false" ht="15" hidden="false" customHeight="false" outlineLevel="0" collapsed="false">
      <c r="C99" s="48" t="s">
        <v>677</v>
      </c>
      <c r="F99" s="35" t="s">
        <v>678</v>
      </c>
      <c r="G99" s="35" t="s">
        <v>679</v>
      </c>
      <c r="H99" s="35" t="s">
        <v>680</v>
      </c>
      <c r="I99" s="35" t="s">
        <v>681</v>
      </c>
      <c r="J99" s="35" t="s">
        <v>682</v>
      </c>
    </row>
    <row r="100" customFormat="false" ht="15" hidden="false" customHeight="false" outlineLevel="0" collapsed="false">
      <c r="C100" s="40" t="s">
        <v>683</v>
      </c>
      <c r="D100" s="58"/>
      <c r="E100" s="58" t="s">
        <v>684</v>
      </c>
      <c r="F100" s="100" t="n">
        <v>0.2</v>
      </c>
      <c r="G100" s="100" t="n">
        <v>0.21</v>
      </c>
      <c r="H100" s="100" t="n">
        <v>0.26</v>
      </c>
      <c r="I100" s="100" t="n">
        <v>0.33</v>
      </c>
      <c r="J100" s="47" t="n">
        <f aca="false">SUM(F100:I100)</f>
        <v>1</v>
      </c>
    </row>
    <row r="101" customFormat="false" ht="15" hidden="false" customHeight="false" outlineLevel="0" collapsed="false">
      <c r="C101" s="40" t="s">
        <v>551</v>
      </c>
      <c r="D101" s="58"/>
      <c r="E101" s="58" t="s">
        <v>552</v>
      </c>
      <c r="F101" s="100" t="n">
        <v>0.18</v>
      </c>
      <c r="G101" s="100" t="n">
        <v>0.24</v>
      </c>
      <c r="H101" s="100" t="n">
        <v>0.3</v>
      </c>
      <c r="I101" s="100" t="n">
        <v>0.28</v>
      </c>
      <c r="J101" s="47" t="n">
        <f aca="false">SUM(F101:I101)</f>
        <v>1</v>
      </c>
    </row>
    <row r="103" customFormat="false" ht="15" hidden="false" customHeight="false" outlineLevel="0" collapsed="false">
      <c r="C103" s="61" t="s">
        <v>685</v>
      </c>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row>
    <row r="104" customFormat="false" ht="15" hidden="false" customHeight="false" outlineLevel="0" collapsed="false">
      <c r="C104" s="48" t="s">
        <v>129</v>
      </c>
      <c r="D104" s="58"/>
      <c r="E104" s="58" t="s">
        <v>686</v>
      </c>
      <c r="G104" s="104" t="n">
        <f aca="false">SUM('GEV Quarterly'!F57:I57)/Revenue!G18</f>
        <v>0.0839528225065014</v>
      </c>
      <c r="H104" s="98" t="n">
        <f aca="false">INDEX(H105:H107,MATCH($D$5,$C105:$C107,0))</f>
        <v>0.13</v>
      </c>
      <c r="I104" s="98" t="n">
        <f aca="false">INDEX(I105:I107,MATCH($D$5,$C105:$C107,0))</f>
        <v>0.146</v>
      </c>
      <c r="J104" s="98" t="n">
        <f aca="false">INDEX(J105:J107,MATCH($D$5,$C105:$C107,0))</f>
        <v>0.16</v>
      </c>
      <c r="K104" s="98" t="n">
        <f aca="false">INDEX(K105:K107,MATCH($D$5,$C105:$C107,0))</f>
        <v>0.16</v>
      </c>
      <c r="L104" s="98" t="n">
        <f aca="false">INDEX(L105:L107,MATCH($D$5,$C105:$C107,0))</f>
        <v>0.16</v>
      </c>
    </row>
    <row r="105" customFormat="false" ht="15" hidden="false" customHeight="false" outlineLevel="0" collapsed="false">
      <c r="C105" s="99" t="s">
        <v>632</v>
      </c>
      <c r="H105" s="100" t="n">
        <v>0.13</v>
      </c>
      <c r="I105" s="100" t="n">
        <v>0.146</v>
      </c>
      <c r="J105" s="100" t="n">
        <v>0.16</v>
      </c>
      <c r="K105" s="100" t="n">
        <v>0.16</v>
      </c>
      <c r="L105" s="100" t="n">
        <v>0.16</v>
      </c>
    </row>
    <row r="106" customFormat="false" ht="15" hidden="false" customHeight="false" outlineLevel="0" collapsed="false">
      <c r="C106" s="99" t="s">
        <v>636</v>
      </c>
      <c r="H106" s="100" t="n">
        <v>0.134</v>
      </c>
      <c r="I106" s="100" t="n">
        <v>0.158</v>
      </c>
      <c r="J106" s="100" t="n">
        <v>0.18</v>
      </c>
      <c r="K106" s="100" t="n">
        <v>0.185</v>
      </c>
      <c r="L106" s="100" t="n">
        <v>0.185</v>
      </c>
    </row>
    <row r="107" customFormat="false" ht="15" hidden="false" customHeight="false" outlineLevel="0" collapsed="false">
      <c r="C107" s="99" t="s">
        <v>637</v>
      </c>
      <c r="H107" s="100" t="n">
        <v>0.126</v>
      </c>
      <c r="I107" s="100" t="n">
        <v>0.13</v>
      </c>
      <c r="J107" s="100" t="n">
        <v>0.13</v>
      </c>
      <c r="K107" s="100" t="n">
        <v>0.125</v>
      </c>
      <c r="L107" s="100" t="n">
        <v>0.12</v>
      </c>
    </row>
    <row r="109" customFormat="false" ht="15" hidden="false" customHeight="false" outlineLevel="0" collapsed="false">
      <c r="C109" s="48" t="s">
        <v>687</v>
      </c>
      <c r="D109" s="58"/>
      <c r="E109" s="58" t="s">
        <v>688</v>
      </c>
      <c r="G109" s="104" t="n">
        <f aca="false">'GEV Quarterly'!I287/'GEV Quarterly'!I236</f>
        <v>0.588901930626948</v>
      </c>
      <c r="H109" s="98" t="n">
        <f aca="false">INDEX(H110:H112,MATCH($D$5,$C110:$C112,0))</f>
        <v>0.59</v>
      </c>
      <c r="I109" s="98" t="n">
        <f aca="false">INDEX(I110:I112,MATCH($D$5,$C110:$C112,0))</f>
        <v>0.56</v>
      </c>
      <c r="J109" s="98" t="n">
        <f aca="false">INDEX(J110:J112,MATCH($D$5,$C110:$C112,0))</f>
        <v>0.53</v>
      </c>
      <c r="K109" s="98" t="n">
        <f aca="false">INDEX(K110:K112,MATCH($D$5,$C110:$C112,0))</f>
        <v>0.5</v>
      </c>
      <c r="L109" s="98" t="n">
        <f aca="false">INDEX(L110:L112,MATCH($D$5,$C110:$C112,0))</f>
        <v>0.48</v>
      </c>
    </row>
    <row r="110" customFormat="false" ht="15" hidden="false" customHeight="false" outlineLevel="0" collapsed="false">
      <c r="C110" s="99" t="s">
        <v>632</v>
      </c>
      <c r="H110" s="100" t="n">
        <v>0.59</v>
      </c>
      <c r="I110" s="100" t="n">
        <v>0.56</v>
      </c>
      <c r="J110" s="100" t="n">
        <v>0.53</v>
      </c>
      <c r="K110" s="100" t="n">
        <v>0.5</v>
      </c>
      <c r="L110" s="100" t="n">
        <v>0.48</v>
      </c>
    </row>
    <row r="111" customFormat="false" ht="15" hidden="false" customHeight="false" outlineLevel="0" collapsed="false">
      <c r="C111" s="99" t="s">
        <v>636</v>
      </c>
      <c r="H111" s="100" t="n">
        <v>0.6</v>
      </c>
      <c r="I111" s="100" t="n">
        <v>0.6</v>
      </c>
      <c r="J111" s="100" t="n">
        <v>0.58</v>
      </c>
      <c r="K111" s="100" t="n">
        <v>0.56</v>
      </c>
      <c r="L111" s="100" t="n">
        <v>0.54</v>
      </c>
    </row>
    <row r="112" customFormat="false" ht="15" hidden="false" customHeight="false" outlineLevel="0" collapsed="false">
      <c r="C112" s="99" t="s">
        <v>637</v>
      </c>
      <c r="H112" s="100" t="n">
        <v>0.595</v>
      </c>
      <c r="I112" s="100" t="n">
        <v>0.5</v>
      </c>
      <c r="J112" s="100" t="n">
        <v>0.45</v>
      </c>
      <c r="K112" s="100" t="n">
        <v>0.41</v>
      </c>
      <c r="L112" s="100" t="n">
        <v>0.38</v>
      </c>
    </row>
    <row r="114" customFormat="false" ht="15" hidden="false" customHeight="false" outlineLevel="0" collapsed="false">
      <c r="C114" s="48" t="s">
        <v>689</v>
      </c>
      <c r="D114" s="58" t="s">
        <v>504</v>
      </c>
      <c r="E114" s="58" t="s">
        <v>690</v>
      </c>
      <c r="J114" s="105" t="n">
        <f aca="false">INDEX(J115:J117,MATCH($D$5,$C115:$C117,0))</f>
        <v>20</v>
      </c>
    </row>
    <row r="115" customFormat="false" ht="15" hidden="false" customHeight="false" outlineLevel="0" collapsed="false">
      <c r="C115" s="99" t="s">
        <v>632</v>
      </c>
      <c r="J115" s="106" t="n">
        <v>20</v>
      </c>
    </row>
    <row r="116" customFormat="false" ht="15" hidden="false" customHeight="false" outlineLevel="0" collapsed="false">
      <c r="C116" s="99" t="s">
        <v>636</v>
      </c>
      <c r="J116" s="106" t="n">
        <v>30</v>
      </c>
    </row>
    <row r="117" customFormat="false" ht="15" hidden="false" customHeight="false" outlineLevel="0" collapsed="false">
      <c r="C117" s="99" t="s">
        <v>637</v>
      </c>
      <c r="J117" s="106" t="n">
        <v>16</v>
      </c>
    </row>
    <row r="119" customFormat="false" ht="15" hidden="false" customHeight="false" outlineLevel="0" collapsed="false">
      <c r="C119" s="48" t="s">
        <v>691</v>
      </c>
    </row>
    <row r="120" customFormat="false" ht="15" hidden="false" customHeight="false" outlineLevel="0" collapsed="false">
      <c r="C120" s="40" t="s">
        <v>692</v>
      </c>
      <c r="D120" s="58"/>
      <c r="E120" s="58" t="s">
        <v>693</v>
      </c>
      <c r="H120" s="100" t="n">
        <v>0.035</v>
      </c>
      <c r="I120" s="100" t="n">
        <v>0.033</v>
      </c>
      <c r="J120" s="100" t="n">
        <v>0.031</v>
      </c>
      <c r="K120" s="100" t="n">
        <v>0.03</v>
      </c>
      <c r="L120" s="100" t="n">
        <v>0.03</v>
      </c>
    </row>
    <row r="121" customFormat="false" ht="15" hidden="false" customHeight="false" outlineLevel="0" collapsed="false">
      <c r="C121" s="40" t="s">
        <v>694</v>
      </c>
      <c r="D121" s="58"/>
      <c r="E121" s="58" t="s">
        <v>695</v>
      </c>
      <c r="H121" s="100" t="n">
        <v>0.032</v>
      </c>
      <c r="I121" s="100" t="n">
        <v>0.032</v>
      </c>
      <c r="J121" s="100" t="n">
        <v>0.03</v>
      </c>
      <c r="K121" s="100" t="n">
        <v>0.03</v>
      </c>
      <c r="L121" s="100" t="n">
        <v>0.03</v>
      </c>
    </row>
    <row r="122" customFormat="false" ht="15" hidden="false" customHeight="false" outlineLevel="0" collapsed="false">
      <c r="C122" s="40" t="s">
        <v>696</v>
      </c>
      <c r="D122" s="58"/>
      <c r="E122" s="58" t="s">
        <v>697</v>
      </c>
      <c r="H122" s="100" t="n">
        <v>0.6</v>
      </c>
      <c r="I122" s="100" t="n">
        <v>0.5</v>
      </c>
      <c r="J122" s="100" t="n">
        <v>0.4</v>
      </c>
      <c r="K122" s="100" t="n">
        <v>0.3</v>
      </c>
      <c r="L122" s="100" t="n">
        <v>0.25</v>
      </c>
    </row>
    <row r="123" customFormat="false" ht="15" hidden="false" customHeight="false" outlineLevel="0" collapsed="false">
      <c r="C123" s="40" t="s">
        <v>698</v>
      </c>
      <c r="D123" s="58"/>
      <c r="E123" s="58" t="s">
        <v>699</v>
      </c>
      <c r="H123" s="100" t="n">
        <v>0.025</v>
      </c>
      <c r="I123" s="100" t="n">
        <v>0.02</v>
      </c>
      <c r="J123" s="100" t="n">
        <v>0.015</v>
      </c>
      <c r="K123" s="100" t="n">
        <v>0.015</v>
      </c>
      <c r="L123" s="100" t="n">
        <v>0.015</v>
      </c>
    </row>
    <row r="124" customFormat="false" ht="15" hidden="false" customHeight="false" outlineLevel="0" collapsed="false">
      <c r="C124" s="40" t="s">
        <v>700</v>
      </c>
      <c r="D124" s="58"/>
      <c r="E124" s="58" t="s">
        <v>701</v>
      </c>
      <c r="H124" s="100" t="n">
        <v>0.25</v>
      </c>
      <c r="I124" s="100" t="n">
        <v>0.25</v>
      </c>
      <c r="J124" s="100" t="n">
        <v>0.25</v>
      </c>
      <c r="K124" s="100" t="n">
        <v>0.25</v>
      </c>
      <c r="L124" s="100" t="n">
        <v>0.25</v>
      </c>
    </row>
    <row r="125" customFormat="false" ht="15" hidden="false" customHeight="false" outlineLevel="0" collapsed="false">
      <c r="C125" s="40" t="s">
        <v>702</v>
      </c>
      <c r="D125" s="58" t="s">
        <v>512</v>
      </c>
      <c r="E125" s="58" t="s">
        <v>703</v>
      </c>
      <c r="H125" s="90" t="n">
        <v>741</v>
      </c>
      <c r="I125" s="90" t="n">
        <v>741</v>
      </c>
      <c r="J125" s="90" t="n">
        <v>741</v>
      </c>
      <c r="K125" s="90" t="n">
        <v>741</v>
      </c>
      <c r="L125" s="90" t="n">
        <v>741</v>
      </c>
    </row>
    <row r="126" customFormat="false" ht="15" hidden="false" customHeight="false" outlineLevel="0" collapsed="false">
      <c r="C126" s="40" t="s">
        <v>704</v>
      </c>
      <c r="D126" s="58"/>
      <c r="E126" s="58" t="s">
        <v>705</v>
      </c>
      <c r="H126" s="100" t="n">
        <v>0.225</v>
      </c>
      <c r="I126" s="100" t="n">
        <v>0.225</v>
      </c>
      <c r="J126" s="100" t="n">
        <v>0.225</v>
      </c>
      <c r="K126" s="100" t="n">
        <v>0.225</v>
      </c>
      <c r="L126" s="100" t="n">
        <v>0.225</v>
      </c>
    </row>
    <row r="127" customFormat="false" ht="15" hidden="false" customHeight="false" outlineLevel="0" collapsed="false">
      <c r="C127" s="40" t="s">
        <v>706</v>
      </c>
      <c r="D127" s="58"/>
      <c r="E127" s="58" t="s">
        <v>707</v>
      </c>
      <c r="H127" s="100" t="n">
        <v>0.38</v>
      </c>
      <c r="I127" s="100" t="n">
        <v>0.38</v>
      </c>
      <c r="J127" s="100" t="n">
        <v>0.38</v>
      </c>
      <c r="K127" s="100" t="n">
        <v>0.38</v>
      </c>
      <c r="L127" s="100" t="n">
        <v>0.38</v>
      </c>
    </row>
    <row r="128" customFormat="false" ht="15" hidden="false" customHeight="false" outlineLevel="0" collapsed="false">
      <c r="C128" s="40" t="s">
        <v>708</v>
      </c>
      <c r="D128" s="58" t="s">
        <v>504</v>
      </c>
      <c r="E128" s="58" t="s">
        <v>709</v>
      </c>
      <c r="H128" s="106" t="n">
        <v>1.5</v>
      </c>
      <c r="I128" s="106" t="n">
        <v>1.5</v>
      </c>
      <c r="J128" s="106" t="n">
        <v>1.5</v>
      </c>
      <c r="K128" s="106" t="n">
        <v>1.5</v>
      </c>
      <c r="L128" s="106" t="n">
        <v>1.5</v>
      </c>
    </row>
    <row r="130" customFormat="false" ht="15" hidden="false" customHeight="false" outlineLevel="0" collapsed="false">
      <c r="C130" s="61" t="s">
        <v>710</v>
      </c>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row>
    <row r="131" customFormat="false" ht="15" hidden="false" customHeight="false" outlineLevel="0" collapsed="false">
      <c r="C131" s="48" t="s">
        <v>711</v>
      </c>
    </row>
    <row r="132" customFormat="false" ht="15" hidden="false" customHeight="false" outlineLevel="0" collapsed="false">
      <c r="C132" s="99" t="s">
        <v>632</v>
      </c>
      <c r="H132" s="91" t="n">
        <v>46033.7987222432</v>
      </c>
      <c r="I132" s="91" t="n">
        <v>50853.3738267497</v>
      </c>
      <c r="J132" s="91" t="n">
        <v>55474.5013905605</v>
      </c>
      <c r="K132" s="91" t="n">
        <v>60481.2116273945</v>
      </c>
      <c r="L132" s="91" t="n">
        <v>65576.6221912134</v>
      </c>
    </row>
    <row r="133" customFormat="false" ht="15" hidden="false" customHeight="false" outlineLevel="0" collapsed="false">
      <c r="C133" s="99" t="s">
        <v>636</v>
      </c>
      <c r="H133" s="91" t="n">
        <v>46710.9311142677</v>
      </c>
      <c r="I133" s="91" t="n">
        <v>53327.6853645318</v>
      </c>
      <c r="J133" s="91" t="n">
        <v>58839.5146320644</v>
      </c>
      <c r="K133" s="91" t="n">
        <v>64979.2987494784</v>
      </c>
      <c r="L133" s="91" t="n">
        <v>71173.3379057341</v>
      </c>
    </row>
    <row r="134" customFormat="false" ht="15" hidden="false" customHeight="false" outlineLevel="0" collapsed="false">
      <c r="C134" s="99" t="s">
        <v>637</v>
      </c>
      <c r="H134" s="91" t="n">
        <v>45444.933681498</v>
      </c>
      <c r="I134" s="91" t="n">
        <v>47859.4365059074</v>
      </c>
      <c r="J134" s="91" t="n">
        <v>49559.2698993559</v>
      </c>
      <c r="K134" s="91" t="n">
        <v>51585.9483335591</v>
      </c>
      <c r="L134" s="91" t="n">
        <v>54124.4296807518</v>
      </c>
    </row>
    <row r="136" customFormat="false" ht="15" hidden="false" customHeight="false" outlineLevel="0" collapsed="false">
      <c r="C136" s="48" t="s">
        <v>712</v>
      </c>
    </row>
    <row r="137" customFormat="false" ht="15" hidden="false" customHeight="false" outlineLevel="0" collapsed="false">
      <c r="C137" s="99" t="s">
        <v>632</v>
      </c>
      <c r="H137" s="107" t="n">
        <v>0.0583603855172638</v>
      </c>
      <c r="I137" s="107" t="n">
        <v>0.169943877286346</v>
      </c>
      <c r="J137" s="107" t="n">
        <v>0.445485758053567</v>
      </c>
      <c r="K137" s="107" t="n">
        <v>0.541525380926721</v>
      </c>
      <c r="L137" s="107" t="n">
        <v>0.575279165422339</v>
      </c>
    </row>
    <row r="138" customFormat="false" ht="15" hidden="false" customHeight="false" outlineLevel="0" collapsed="false">
      <c r="C138" s="99" t="s">
        <v>636</v>
      </c>
      <c r="H138" s="107" t="n">
        <v>0.0596739346734205</v>
      </c>
      <c r="I138" s="107" t="n">
        <v>0.173542345386801</v>
      </c>
      <c r="J138" s="107" t="n">
        <v>0.461123985590102</v>
      </c>
      <c r="K138" s="107" t="n">
        <v>0.546738586927001</v>
      </c>
      <c r="L138" s="107" t="n">
        <v>0.58168358185504</v>
      </c>
    </row>
    <row r="139" customFormat="false" ht="15" hidden="false" customHeight="false" outlineLevel="0" collapsed="false">
      <c r="C139" s="99" t="s">
        <v>637</v>
      </c>
      <c r="H139" s="107" t="n">
        <v>0.0573214965962101</v>
      </c>
      <c r="I139" s="107" t="n">
        <v>0.158330329606424</v>
      </c>
      <c r="J139" s="107" t="n">
        <v>0.407713370196087</v>
      </c>
      <c r="K139" s="107" t="n">
        <v>0.506809947365946</v>
      </c>
      <c r="L139" s="107" t="n">
        <v>0.537022917972333</v>
      </c>
    </row>
    <row r="141" customFormat="false" ht="15" hidden="false" customHeight="false" outlineLevel="0" collapsed="false">
      <c r="C141" s="48" t="s">
        <v>713</v>
      </c>
    </row>
    <row r="142" customFormat="false" ht="15" hidden="false" customHeight="false" outlineLevel="0" collapsed="false">
      <c r="C142" s="99" t="s">
        <v>632</v>
      </c>
      <c r="H142" s="108" t="n">
        <v>3.7926493870337</v>
      </c>
      <c r="I142" s="108" t="n">
        <v>3.81681007263648</v>
      </c>
      <c r="J142" s="108" t="n">
        <v>3.78780239744962</v>
      </c>
      <c r="K142" s="108" t="n">
        <v>3.57042611643654</v>
      </c>
      <c r="L142" s="108" t="n">
        <v>3.23622231731738</v>
      </c>
    </row>
    <row r="143" customFormat="false" ht="15" hidden="false" customHeight="false" outlineLevel="0" collapsed="false">
      <c r="C143" s="99" t="s">
        <v>636</v>
      </c>
      <c r="H143" s="108" t="n">
        <v>3.79643813206425</v>
      </c>
      <c r="I143" s="108" t="n">
        <v>4.04010070988701</v>
      </c>
      <c r="J143" s="108" t="n">
        <v>4.29018884365925</v>
      </c>
      <c r="K143" s="108" t="n">
        <v>4.31891847792646</v>
      </c>
      <c r="L143" s="108" t="n">
        <v>4.18974690212554</v>
      </c>
    </row>
    <row r="144" customFormat="false" ht="15" hidden="false" customHeight="false" outlineLevel="0" collapsed="false">
      <c r="C144" s="99" t="s">
        <v>637</v>
      </c>
      <c r="H144" s="108" t="n">
        <v>3.64454367174536</v>
      </c>
      <c r="I144" s="108" t="n">
        <v>3.10198524731781</v>
      </c>
      <c r="J144" s="108" t="n">
        <v>2.44894801644949</v>
      </c>
      <c r="K144" s="108" t="n">
        <v>1.66189931008763</v>
      </c>
      <c r="L144" s="108" t="n">
        <v>0.832133621860128</v>
      </c>
    </row>
    <row r="146" customFormat="false" ht="15" hidden="false" customHeight="false" outlineLevel="0" collapsed="false">
      <c r="C146" s="48" t="s">
        <v>714</v>
      </c>
    </row>
    <row r="147" customFormat="false" ht="15" hidden="false" customHeight="false" outlineLevel="0" collapsed="false">
      <c r="C147" s="99" t="s">
        <v>632</v>
      </c>
      <c r="H147" s="69" t="n">
        <v>732.5</v>
      </c>
      <c r="I147" s="69" t="n">
        <v>915.625</v>
      </c>
      <c r="J147" s="69" t="n">
        <v>1007.1875</v>
      </c>
      <c r="K147" s="69" t="n">
        <v>1057.546875</v>
      </c>
      <c r="L147" s="69" t="n">
        <v>1089.27328125</v>
      </c>
    </row>
    <row r="148" customFormat="false" ht="15" hidden="false" customHeight="false" outlineLevel="0" collapsed="false">
      <c r="C148" s="99" t="s">
        <v>636</v>
      </c>
      <c r="H148" s="69" t="n">
        <v>732.5</v>
      </c>
      <c r="I148" s="69" t="n">
        <v>1003.525</v>
      </c>
      <c r="J148" s="69" t="n">
        <v>1123.948</v>
      </c>
      <c r="K148" s="69" t="n">
        <v>1213.86384</v>
      </c>
      <c r="L148" s="69" t="n">
        <v>1274.557032</v>
      </c>
    </row>
    <row r="149" customFormat="false" ht="15" hidden="false" customHeight="false" outlineLevel="0" collapsed="false">
      <c r="C149" s="99" t="s">
        <v>637</v>
      </c>
      <c r="H149" s="69" t="n">
        <v>732.5</v>
      </c>
      <c r="I149" s="69" t="n">
        <v>732.5</v>
      </c>
      <c r="J149" s="69" t="n">
        <v>659.25</v>
      </c>
      <c r="K149" s="69" t="n">
        <v>626.2875</v>
      </c>
      <c r="L149" s="69" t="n">
        <v>626.2875</v>
      </c>
    </row>
    <row r="151" customFormat="false" ht="15" hidden="false" customHeight="false" outlineLevel="0" collapsed="false">
      <c r="C151" s="48" t="s">
        <v>715</v>
      </c>
    </row>
    <row r="152" customFormat="false" ht="15" hidden="false" customHeight="false" outlineLevel="0" collapsed="false">
      <c r="C152" s="99" t="s">
        <v>632</v>
      </c>
      <c r="H152" s="109" t="n">
        <v>700.813741695315</v>
      </c>
    </row>
    <row r="153" customFormat="false" ht="15" hidden="false" customHeight="false" outlineLevel="0" collapsed="false">
      <c r="C153" s="99" t="s">
        <v>636</v>
      </c>
      <c r="H153" s="109" t="n">
        <v>1267.65155091428</v>
      </c>
    </row>
    <row r="154" customFormat="false" ht="15" hidden="false" customHeight="false" outlineLevel="0" collapsed="false">
      <c r="C154" s="99" t="s">
        <v>637</v>
      </c>
      <c r="H154" s="109" t="n">
        <v>351.059050382468</v>
      </c>
    </row>
    <row r="156" customFormat="false" ht="15" hidden="false" customHeight="false" outlineLevel="0" collapsed="false">
      <c r="C156" s="48" t="s">
        <v>716</v>
      </c>
    </row>
    <row r="157" customFormat="false" ht="15" hidden="false" customHeight="false" outlineLevel="0" collapsed="false">
      <c r="C157" s="99" t="s">
        <v>632</v>
      </c>
      <c r="J157" s="91" t="n">
        <v>55000</v>
      </c>
    </row>
    <row r="158" customFormat="false" ht="15" hidden="false" customHeight="false" outlineLevel="0" collapsed="false">
      <c r="C158" s="99" t="s">
        <v>636</v>
      </c>
      <c r="J158" s="91" t="n">
        <v>58000</v>
      </c>
    </row>
    <row r="159" customFormat="false" ht="15" hidden="false" customHeight="false" outlineLevel="0" collapsed="false">
      <c r="C159" s="99" t="s">
        <v>637</v>
      </c>
      <c r="J159" s="91" t="n">
        <v>50000</v>
      </c>
    </row>
    <row r="161" customFormat="false" ht="15" hidden="false" customHeight="false" outlineLevel="0" collapsed="false">
      <c r="C161" s="48" t="s">
        <v>717</v>
      </c>
    </row>
    <row r="162" customFormat="false" ht="15" hidden="false" customHeight="false" outlineLevel="0" collapsed="false">
      <c r="C162" s="99" t="s">
        <v>632</v>
      </c>
      <c r="J162" s="91" t="n">
        <v>700</v>
      </c>
    </row>
    <row r="163" customFormat="false" ht="15" hidden="false" customHeight="false" outlineLevel="0" collapsed="false">
      <c r="C163" s="99" t="s">
        <v>636</v>
      </c>
      <c r="J163" s="91" t="n">
        <v>1215</v>
      </c>
    </row>
    <row r="164" customFormat="false" ht="15" hidden="false" customHeight="false" outlineLevel="0" collapsed="false">
      <c r="C164" s="99" t="s">
        <v>637</v>
      </c>
      <c r="J164" s="91" t="n">
        <v>430</v>
      </c>
    </row>
    <row r="166" customFormat="false" ht="15" hidden="false" customHeight="false" outlineLevel="0" collapsed="false">
      <c r="C166" s="48" t="s">
        <v>718</v>
      </c>
      <c r="J166" s="110" t="str">
        <f aca="false">IF(AND(ABS(Revenue!J18-INDEX(J132:J134,MATCH($D$5,$C132:$C134,0)))&lt;1,ABS('Regular DCF'!H65-INDEX(H152:H154,MATCH($D$5,$C152:$C154,0)))&lt;0.5),"Snapshot matches","STALE: re-run")</f>
        <v>Snapshot matches</v>
      </c>
    </row>
    <row r="167" customFormat="false" ht="15" hidden="false" customHeight="false" outlineLevel="0" collapsed="false">
      <c r="C167" s="46" t="s">
        <v>719</v>
      </c>
      <c r="H167" s="51" t="n">
        <f aca="false">Revenue!H18</f>
        <v>46033.7987222432</v>
      </c>
      <c r="I167" s="51" t="n">
        <f aca="false">Revenue!I18</f>
        <v>50853.3738267497</v>
      </c>
      <c r="J167" s="51" t="n">
        <f aca="false">Revenue!J18</f>
        <v>55474.5013905605</v>
      </c>
      <c r="K167" s="51" t="n">
        <f aca="false">Revenue!K18</f>
        <v>60481.2116273945</v>
      </c>
      <c r="L167" s="51" t="n">
        <f aca="false">Revenue!L18</f>
        <v>65576.6221912134</v>
      </c>
    </row>
  </sheetData>
  <mergeCells count="4">
    <mergeCell ref="F6:G6"/>
    <mergeCell ref="H6:L6"/>
    <mergeCell ref="N6:W6"/>
    <mergeCell ref="X6:AO6"/>
  </mergeCells>
  <dataValidations count="1">
    <dataValidation allowBlank="false" errorStyle="stop" operator="between" showDropDown="false" showErrorMessage="false" showInputMessage="false" sqref="D5" type="list">
      <formula1>"Base,Bull,Bear"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V9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40"/>
    <col collapsed="false" customWidth="true" hidden="false" outlineLevel="0" max="4" min="4" style="0" width="1.51"/>
    <col collapsed="false" customWidth="true" hidden="false" outlineLevel="0" max="5" min="5" style="0" width="27"/>
    <col collapsed="false" customWidth="true" hidden="false" outlineLevel="0" max="17" min="6" style="0" width="10.51"/>
    <col collapsed="false" customWidth="true" hidden="false" outlineLevel="0" max="18" min="18" style="0" width="1.51"/>
    <col collapsed="false" customWidth="true" hidden="false" outlineLevel="0" max="22" min="19" style="0" width="11"/>
    <col collapsed="false" customWidth="true" hidden="false" outlineLevel="0" max="23" min="23" style="0" width="2.5"/>
  </cols>
  <sheetData>
    <row r="2" customFormat="false" ht="17.35" hidden="false" customHeight="false" outlineLevel="0" collapsed="false">
      <c r="C2" s="55" t="s">
        <v>409</v>
      </c>
    </row>
    <row r="3" customFormat="false" ht="15" hidden="false" customHeight="false" outlineLevel="0" collapsed="false">
      <c r="C3" s="56" t="s">
        <v>720</v>
      </c>
    </row>
    <row r="4" customFormat="false" ht="15" hidden="false" customHeight="false" outlineLevel="0" collapsed="false">
      <c r="C4" s="56" t="s">
        <v>721</v>
      </c>
    </row>
    <row r="5" customFormat="false" ht="15" hidden="false" customHeight="false" outlineLevel="0" collapsed="false">
      <c r="C5" s="48" t="s">
        <v>412</v>
      </c>
      <c r="D5" s="40"/>
      <c r="E5" s="111" t="str">
        <f aca="false">'Key Drivers'!D5</f>
        <v>Base</v>
      </c>
    </row>
    <row r="6" customFormat="false" ht="15" hidden="false" customHeight="false" outlineLevel="0" collapsed="false">
      <c r="F6" s="59" t="s">
        <v>722</v>
      </c>
      <c r="G6" s="59"/>
      <c r="H6" s="59" t="s">
        <v>723</v>
      </c>
      <c r="I6" s="59"/>
      <c r="J6" s="59"/>
      <c r="K6" s="59"/>
      <c r="L6" s="59"/>
      <c r="M6" s="59"/>
      <c r="N6" s="59"/>
      <c r="O6" s="59"/>
      <c r="P6" s="59"/>
      <c r="Q6" s="59"/>
      <c r="S6" s="59" t="s">
        <v>2</v>
      </c>
      <c r="T6" s="59"/>
      <c r="U6" s="59"/>
      <c r="V6" s="59"/>
    </row>
    <row r="7" customFormat="false" ht="15" hidden="false" customHeight="false" outlineLevel="0" collapsed="false">
      <c r="C7" s="34" t="s">
        <v>418</v>
      </c>
      <c r="D7" s="34"/>
      <c r="E7" s="34" t="s">
        <v>420</v>
      </c>
      <c r="F7" s="35" t="s">
        <v>724</v>
      </c>
      <c r="G7" s="35" t="s">
        <v>725</v>
      </c>
      <c r="H7" s="35" t="s">
        <v>726</v>
      </c>
      <c r="I7" s="35" t="s">
        <v>727</v>
      </c>
      <c r="J7" s="35" t="s">
        <v>728</v>
      </c>
      <c r="K7" s="35" t="s">
        <v>729</v>
      </c>
      <c r="L7" s="35" t="s">
        <v>730</v>
      </c>
      <c r="M7" s="35" t="s">
        <v>731</v>
      </c>
      <c r="N7" s="35" t="s">
        <v>732</v>
      </c>
      <c r="O7" s="35" t="s">
        <v>733</v>
      </c>
      <c r="P7" s="35" t="s">
        <v>734</v>
      </c>
      <c r="Q7" s="35" t="s">
        <v>735</v>
      </c>
      <c r="R7" s="35"/>
      <c r="S7" s="35" t="s">
        <v>423</v>
      </c>
      <c r="T7" s="35" t="s">
        <v>424</v>
      </c>
      <c r="U7" s="35" t="s">
        <v>425</v>
      </c>
      <c r="V7" s="35" t="s">
        <v>426</v>
      </c>
    </row>
    <row r="8" customFormat="false" ht="15" hidden="false" customHeight="false" outlineLevel="0" collapsed="false">
      <c r="C8" s="34" t="s">
        <v>17</v>
      </c>
      <c r="D8" s="34"/>
      <c r="E8" s="34"/>
      <c r="F8" s="60" t="n">
        <v>46112</v>
      </c>
      <c r="G8" s="60" t="n">
        <v>46203</v>
      </c>
      <c r="H8" s="60" t="n">
        <v>46295</v>
      </c>
      <c r="I8" s="60" t="n">
        <v>46387</v>
      </c>
      <c r="J8" s="60" t="n">
        <v>46477</v>
      </c>
      <c r="K8" s="60" t="n">
        <v>46568</v>
      </c>
      <c r="L8" s="60" t="n">
        <v>46660</v>
      </c>
      <c r="M8" s="60" t="n">
        <v>46752</v>
      </c>
      <c r="N8" s="60" t="n">
        <v>46843</v>
      </c>
      <c r="O8" s="60" t="n">
        <v>46934</v>
      </c>
      <c r="P8" s="60" t="n">
        <v>47026</v>
      </c>
      <c r="Q8" s="60" t="n">
        <v>47118</v>
      </c>
      <c r="R8" s="35"/>
      <c r="S8" s="60" t="n">
        <v>46387</v>
      </c>
      <c r="T8" s="60" t="n">
        <v>46752</v>
      </c>
      <c r="U8" s="60" t="n">
        <v>47118</v>
      </c>
      <c r="V8" s="60" t="n">
        <v>47483</v>
      </c>
    </row>
    <row r="10" customFormat="false" ht="15" hidden="false" customHeight="false" outlineLevel="0" collapsed="false">
      <c r="C10" s="61" t="s">
        <v>736</v>
      </c>
      <c r="D10" s="61"/>
      <c r="E10" s="61"/>
      <c r="F10" s="61"/>
      <c r="G10" s="61"/>
      <c r="H10" s="61"/>
      <c r="I10" s="61"/>
      <c r="J10" s="61"/>
      <c r="K10" s="61"/>
      <c r="L10" s="61"/>
      <c r="M10" s="61"/>
      <c r="N10" s="61"/>
      <c r="O10" s="61"/>
      <c r="P10" s="61"/>
      <c r="Q10" s="61"/>
      <c r="R10" s="61"/>
      <c r="S10" s="61"/>
      <c r="T10" s="61"/>
      <c r="U10" s="61"/>
      <c r="V10" s="61"/>
    </row>
    <row r="11" customFormat="false" ht="15" hidden="false" customHeight="false" outlineLevel="0" collapsed="false">
      <c r="C11" s="42" t="s">
        <v>737</v>
      </c>
      <c r="D11" s="112"/>
      <c r="E11" s="63" t="s">
        <v>738</v>
      </c>
      <c r="F11" s="43" t="n">
        <f aca="false">Revenue!V18</f>
        <v>9337</v>
      </c>
      <c r="G11" s="43" t="n">
        <f aca="false">Revenue!W18</f>
        <v>11103</v>
      </c>
      <c r="H11" s="64" t="n">
        <f aca="false">Revenue!X18</f>
        <v>11933.0043974227</v>
      </c>
      <c r="I11" s="64" t="n">
        <f aca="false">Revenue!Y18</f>
        <v>13660.7943248205</v>
      </c>
      <c r="J11" s="64" t="n">
        <f aca="false">Revenue!Z18</f>
        <v>11315.4701214957</v>
      </c>
      <c r="K11" s="64" t="n">
        <f aca="false">Revenue!AA18</f>
        <v>12470.152017094</v>
      </c>
      <c r="L11" s="64" t="n">
        <f aca="false">Revenue!AB18</f>
        <v>12826.9408069083</v>
      </c>
      <c r="M11" s="64" t="n">
        <f aca="false">Revenue!AC18</f>
        <v>14240.8108812517</v>
      </c>
      <c r="N11" s="64" t="n">
        <f aca="false">Revenue!AD18</f>
        <v>12473.1179329386</v>
      </c>
      <c r="O11" s="64" t="n">
        <f aca="false">Revenue!AE18</f>
        <v>13603.7344696689</v>
      </c>
      <c r="P11" s="64" t="n">
        <f aca="false">Revenue!AF18</f>
        <v>13968.4747182991</v>
      </c>
      <c r="Q11" s="64" t="n">
        <f aca="false">Revenue!AG18</f>
        <v>15429.1742696538</v>
      </c>
      <c r="S11" s="64" t="n">
        <f aca="false">SUM(F11:I11)</f>
        <v>46033.7987222432</v>
      </c>
      <c r="T11" s="64" t="n">
        <f aca="false">SUM(J11:M11)</f>
        <v>50853.3738267497</v>
      </c>
      <c r="U11" s="64" t="n">
        <f aca="false">SUM(N11:Q11)</f>
        <v>55474.5013905605</v>
      </c>
      <c r="V11" s="64" t="n">
        <f aca="false">Revenue!K18</f>
        <v>60481.2116273945</v>
      </c>
    </row>
    <row r="12" customFormat="false" ht="15" hidden="false" customHeight="false" outlineLevel="0" collapsed="false">
      <c r="C12" s="46" t="s">
        <v>455</v>
      </c>
      <c r="F12" s="65" t="n">
        <f aca="false">F11/Revenue!R18-1</f>
        <v>0.162475099601594</v>
      </c>
      <c r="G12" s="65" t="n">
        <f aca="false">G11/Revenue!S18-1</f>
        <v>0.218503072870939</v>
      </c>
      <c r="H12" s="66" t="n">
        <f aca="false">H11/Revenue!T18-1</f>
        <v>0.197011174382856</v>
      </c>
      <c r="I12" s="66" t="n">
        <f aca="false">I11/Revenue!U18-1</f>
        <v>0.246877904784638</v>
      </c>
      <c r="J12" s="66" t="n">
        <f aca="false">J11/Revenue!V18-1</f>
        <v>0.211895696850772</v>
      </c>
      <c r="K12" s="66" t="n">
        <f aca="false">K11/Revenue!W18-1</f>
        <v>0.123133569043865</v>
      </c>
      <c r="L12" s="66" t="n">
        <f aca="false">L11/Revenue!X18-1</f>
        <v>0.0749129372380595</v>
      </c>
      <c r="M12" s="66" t="n">
        <f aca="false">M11/Revenue!Y18-1</f>
        <v>0.0424584795466347</v>
      </c>
      <c r="N12" s="66" t="n">
        <f aca="false">N11/Revenue!Z18-1</f>
        <v>0.102306647360927</v>
      </c>
      <c r="O12" s="66" t="n">
        <f aca="false">O11/Revenue!AA18-1</f>
        <v>0.0909036594759216</v>
      </c>
      <c r="P12" s="66" t="n">
        <f aca="false">P11/Revenue!AB18-1</f>
        <v>0.0889950245015569</v>
      </c>
      <c r="Q12" s="66" t="n">
        <f aca="false">Q11/Revenue!AC18-1</f>
        <v>0.0834477333005412</v>
      </c>
      <c r="S12" s="66" t="n">
        <f aca="false">S11/Revenue!$G$18-1</f>
        <v>0.209220066779878</v>
      </c>
      <c r="T12" s="66" t="n">
        <f aca="false">T11/S11-1</f>
        <v>0.104696445617852</v>
      </c>
      <c r="U12" s="66" t="n">
        <f aca="false">U11/T11-1</f>
        <v>0.0908716023356551</v>
      </c>
      <c r="V12" s="66" t="n">
        <f aca="false">V11/U11-1</f>
        <v>0.090252460343627</v>
      </c>
    </row>
    <row r="13" customFormat="false" ht="15" hidden="false" customHeight="false" outlineLevel="0" collapsed="false">
      <c r="C13" s="40" t="s">
        <v>128</v>
      </c>
      <c r="E13" s="58" t="s">
        <v>739</v>
      </c>
      <c r="F13" s="41" t="n">
        <f aca="false">'GEV Quarterly'!J57</f>
        <v>896</v>
      </c>
      <c r="G13" s="41" t="n">
        <f aca="false">'GEV Quarterly'!K57</f>
        <v>1250</v>
      </c>
      <c r="H13" s="62" t="n">
        <f aca="false">H11*($S11*'Key Drivers'!$H$104-SUM($F13:$G13))/SUM($H11:$I11)</f>
        <v>1789.63548928208</v>
      </c>
      <c r="I13" s="62" t="n">
        <f aca="false">I11*($S11*'Key Drivers'!$H$104-SUM($F13:$G13))/SUM($H11:$I11)</f>
        <v>2048.75834460953</v>
      </c>
      <c r="J13" s="62" t="n">
        <f aca="false">J11*'Key Drivers'!$I$104</f>
        <v>1652.05863773837</v>
      </c>
      <c r="K13" s="62" t="n">
        <f aca="false">K11*'Key Drivers'!$I$104</f>
        <v>1820.64219449573</v>
      </c>
      <c r="L13" s="62" t="n">
        <f aca="false">L11*'Key Drivers'!$I$104</f>
        <v>1872.73335780861</v>
      </c>
      <c r="M13" s="62" t="n">
        <f aca="false">M11*'Key Drivers'!$I$104</f>
        <v>2079.15838866274</v>
      </c>
      <c r="N13" s="62" t="n">
        <f aca="false">N11*'Key Drivers'!$J$104</f>
        <v>1995.69886927018</v>
      </c>
      <c r="O13" s="62" t="n">
        <f aca="false">O11*'Key Drivers'!$J$104</f>
        <v>2176.59751514703</v>
      </c>
      <c r="P13" s="62" t="n">
        <f aca="false">P11*'Key Drivers'!$J$104</f>
        <v>2234.95595492786</v>
      </c>
      <c r="Q13" s="62" t="n">
        <f aca="false">Q11*'Key Drivers'!$J$104</f>
        <v>2468.66788314461</v>
      </c>
      <c r="S13" s="62" t="n">
        <f aca="false">SUM(F13:I13)</f>
        <v>5984.39383389161</v>
      </c>
      <c r="T13" s="62" t="n">
        <f aca="false">SUM(J13:M13)</f>
        <v>7424.59257870545</v>
      </c>
      <c r="U13" s="62" t="n">
        <f aca="false">SUM(N13:Q13)</f>
        <v>8875.92022248968</v>
      </c>
      <c r="V13" s="62" t="n">
        <f aca="false">V11*'Key Drivers'!$K$104</f>
        <v>9676.99386038312</v>
      </c>
    </row>
    <row r="14" customFormat="false" ht="15" hidden="false" customHeight="false" outlineLevel="0" collapsed="false">
      <c r="C14" s="46" t="s">
        <v>740</v>
      </c>
      <c r="E14" s="58" t="s">
        <v>741</v>
      </c>
      <c r="F14" s="65" t="n">
        <f aca="false">F13/F11</f>
        <v>0.0959623005247938</v>
      </c>
      <c r="G14" s="65" t="n">
        <f aca="false">G13/G11</f>
        <v>0.112582184995046</v>
      </c>
      <c r="H14" s="66" t="n">
        <f aca="false">H13/H11</f>
        <v>0.149973588350358</v>
      </c>
      <c r="I14" s="66" t="n">
        <f aca="false">I13/I11</f>
        <v>0.149973588350358</v>
      </c>
      <c r="J14" s="66" t="n">
        <f aca="false">J13/J11</f>
        <v>0.146</v>
      </c>
      <c r="K14" s="66" t="n">
        <f aca="false">K13/K11</f>
        <v>0.146</v>
      </c>
      <c r="L14" s="66" t="n">
        <f aca="false">L13/L11</f>
        <v>0.146</v>
      </c>
      <c r="M14" s="66" t="n">
        <f aca="false">M13/M11</f>
        <v>0.146</v>
      </c>
      <c r="N14" s="66" t="n">
        <f aca="false">N13/N11</f>
        <v>0.16</v>
      </c>
      <c r="O14" s="66" t="n">
        <f aca="false">O13/O11</f>
        <v>0.16</v>
      </c>
      <c r="P14" s="66" t="n">
        <f aca="false">P13/P11</f>
        <v>0.16</v>
      </c>
      <c r="Q14" s="66" t="n">
        <f aca="false">Q13/Q11</f>
        <v>0.16</v>
      </c>
      <c r="S14" s="66" t="n">
        <f aca="false">S13/S11</f>
        <v>0.13</v>
      </c>
      <c r="T14" s="66" t="n">
        <f aca="false">T13/T11</f>
        <v>0.146</v>
      </c>
      <c r="U14" s="66" t="n">
        <f aca="false">U13/U11</f>
        <v>0.16</v>
      </c>
      <c r="V14" s="66" t="n">
        <f aca="false">V13/V11</f>
        <v>0.16</v>
      </c>
    </row>
    <row r="15" customFormat="false" ht="15" hidden="false" customHeight="false" outlineLevel="0" collapsed="false">
      <c r="C15" s="40" t="s">
        <v>742</v>
      </c>
      <c r="F15" s="41" t="n">
        <f aca="false">'GEV Quarterly'!J54</f>
        <v>341</v>
      </c>
      <c r="G15" s="41" t="n">
        <f aca="false">'GEV Quarterly'!K54</f>
        <v>418</v>
      </c>
      <c r="H15" s="62" t="n">
        <f aca="false">H11*'Key Drivers'!$H$120</f>
        <v>417.655153909794</v>
      </c>
      <c r="I15" s="62" t="n">
        <f aca="false">I11*'Key Drivers'!$H$120</f>
        <v>478.127801368717</v>
      </c>
      <c r="J15" s="62" t="n">
        <f aca="false">J11*'Key Drivers'!$I$120</f>
        <v>373.410514009357</v>
      </c>
      <c r="K15" s="62" t="n">
        <f aca="false">K11*'Key Drivers'!$I$120</f>
        <v>411.515016564103</v>
      </c>
      <c r="L15" s="62" t="n">
        <f aca="false">L11*'Key Drivers'!$I$120</f>
        <v>423.289046627974</v>
      </c>
      <c r="M15" s="62" t="n">
        <f aca="false">M11*'Key Drivers'!$I$120</f>
        <v>469.946759081305</v>
      </c>
      <c r="N15" s="62" t="n">
        <f aca="false">N11*'Key Drivers'!$J$120</f>
        <v>386.666655921097</v>
      </c>
      <c r="O15" s="62" t="n">
        <f aca="false">O11*'Key Drivers'!$J$120</f>
        <v>421.715768559737</v>
      </c>
      <c r="P15" s="62" t="n">
        <f aca="false">P11*'Key Drivers'!$J$120</f>
        <v>433.022716267273</v>
      </c>
      <c r="Q15" s="62" t="n">
        <f aca="false">Q11*'Key Drivers'!$J$120</f>
        <v>478.304402359268</v>
      </c>
      <c r="S15" s="62" t="n">
        <f aca="false">SUM(F15:I15)</f>
        <v>1654.78295527851</v>
      </c>
      <c r="T15" s="62" t="n">
        <f aca="false">SUM(J15:M15)</f>
        <v>1678.16133628274</v>
      </c>
      <c r="U15" s="62" t="n">
        <f aca="false">SUM(N15:Q15)</f>
        <v>1719.70954310737</v>
      </c>
      <c r="V15" s="68"/>
    </row>
    <row r="16" customFormat="false" ht="15" hidden="false" customHeight="false" outlineLevel="0" collapsed="false">
      <c r="C16" s="48" t="s">
        <v>743</v>
      </c>
      <c r="F16" s="113" t="n">
        <f aca="false">F13-F15</f>
        <v>555</v>
      </c>
      <c r="G16" s="113" t="n">
        <f aca="false">G13-G15</f>
        <v>832</v>
      </c>
      <c r="H16" s="114" t="n">
        <f aca="false">H13-H15</f>
        <v>1371.98033537229</v>
      </c>
      <c r="I16" s="114" t="n">
        <f aca="false">I13-I15</f>
        <v>1570.63054324082</v>
      </c>
      <c r="J16" s="114" t="n">
        <f aca="false">J13-J15</f>
        <v>1278.64812372901</v>
      </c>
      <c r="K16" s="114" t="n">
        <f aca="false">K13-K15</f>
        <v>1409.12717793163</v>
      </c>
      <c r="L16" s="114" t="n">
        <f aca="false">L13-L15</f>
        <v>1449.44431118064</v>
      </c>
      <c r="M16" s="114" t="n">
        <f aca="false">M13-M15</f>
        <v>1609.21162958144</v>
      </c>
      <c r="N16" s="114" t="n">
        <f aca="false">N13-N15</f>
        <v>1609.03221334908</v>
      </c>
      <c r="O16" s="114" t="n">
        <f aca="false">O13-O15</f>
        <v>1754.88174658729</v>
      </c>
      <c r="P16" s="114" t="n">
        <f aca="false">P13-P15</f>
        <v>1801.93323866059</v>
      </c>
      <c r="Q16" s="114" t="n">
        <f aca="false">Q13-Q15</f>
        <v>1990.36348078534</v>
      </c>
      <c r="S16" s="114" t="n">
        <f aca="false">S13-S15</f>
        <v>4329.6108786131</v>
      </c>
      <c r="T16" s="114" t="n">
        <f aca="false">T13-T15</f>
        <v>5746.43124242271</v>
      </c>
      <c r="U16" s="114" t="n">
        <f aca="false">U13-U15</f>
        <v>7156.2106793823</v>
      </c>
      <c r="V16" s="68"/>
    </row>
    <row r="17" customFormat="false" ht="15" hidden="false" customHeight="false" outlineLevel="0" collapsed="false">
      <c r="C17" s="40" t="s">
        <v>744</v>
      </c>
      <c r="F17" s="41" t="n">
        <f aca="false">F16*'Key Drivers'!$H$124</f>
        <v>138.75</v>
      </c>
      <c r="G17" s="41" t="n">
        <f aca="false">G16*'Key Drivers'!$H$124</f>
        <v>208</v>
      </c>
      <c r="H17" s="62" t="n">
        <f aca="false">H16*'Key Drivers'!$H$124</f>
        <v>342.995083843072</v>
      </c>
      <c r="I17" s="62" t="n">
        <f aca="false">I16*'Key Drivers'!$H$124</f>
        <v>392.657635810204</v>
      </c>
      <c r="J17" s="62" t="n">
        <f aca="false">J16*'Key Drivers'!$I$124</f>
        <v>319.662030932252</v>
      </c>
      <c r="K17" s="62" t="n">
        <f aca="false">K16*'Key Drivers'!$I$124</f>
        <v>352.281794482906</v>
      </c>
      <c r="L17" s="62" t="n">
        <f aca="false">L16*'Key Drivers'!$I$124</f>
        <v>362.36107779516</v>
      </c>
      <c r="M17" s="62" t="n">
        <f aca="false">M16*'Key Drivers'!$I$124</f>
        <v>402.30290739536</v>
      </c>
      <c r="N17" s="62" t="n">
        <f aca="false">N16*'Key Drivers'!$J$124</f>
        <v>402.25805333727</v>
      </c>
      <c r="O17" s="62" t="n">
        <f aca="false">O16*'Key Drivers'!$J$124</f>
        <v>438.720436646823</v>
      </c>
      <c r="P17" s="62" t="n">
        <f aca="false">P16*'Key Drivers'!$J$124</f>
        <v>450.483309665147</v>
      </c>
      <c r="Q17" s="62" t="n">
        <f aca="false">Q16*'Key Drivers'!$J$124</f>
        <v>497.590870196335</v>
      </c>
      <c r="S17" s="62" t="n">
        <f aca="false">SUM(F17:I17)</f>
        <v>1082.40271965328</v>
      </c>
      <c r="T17" s="62" t="n">
        <f aca="false">SUM(J17:M17)</f>
        <v>1436.60781060568</v>
      </c>
      <c r="U17" s="62" t="n">
        <f aca="false">SUM(N17:Q17)</f>
        <v>1789.05266984558</v>
      </c>
      <c r="V17" s="68"/>
    </row>
    <row r="18" customFormat="false" ht="15" hidden="false" customHeight="false" outlineLevel="0" collapsed="false">
      <c r="C18" s="42" t="s">
        <v>745</v>
      </c>
      <c r="D18" s="112"/>
      <c r="E18" s="112"/>
      <c r="F18" s="43" t="n">
        <f aca="false">F16-F17</f>
        <v>416.25</v>
      </c>
      <c r="G18" s="43" t="n">
        <f aca="false">G16-G17</f>
        <v>624</v>
      </c>
      <c r="H18" s="64" t="n">
        <f aca="false">H16-H17</f>
        <v>1028.98525152921</v>
      </c>
      <c r="I18" s="64" t="n">
        <f aca="false">I16-I17</f>
        <v>1177.97290743061</v>
      </c>
      <c r="J18" s="64" t="n">
        <f aca="false">J16-J17</f>
        <v>958.986092796757</v>
      </c>
      <c r="K18" s="64" t="n">
        <f aca="false">K16-K17</f>
        <v>1056.84538344872</v>
      </c>
      <c r="L18" s="64" t="n">
        <f aca="false">L16-L17</f>
        <v>1087.08323338548</v>
      </c>
      <c r="M18" s="64" t="n">
        <f aca="false">M16-M17</f>
        <v>1206.90872218608</v>
      </c>
      <c r="N18" s="64" t="n">
        <f aca="false">N16-N17</f>
        <v>1206.77416001181</v>
      </c>
      <c r="O18" s="64" t="n">
        <f aca="false">O16-O17</f>
        <v>1316.16130994047</v>
      </c>
      <c r="P18" s="64" t="n">
        <f aca="false">P16-P17</f>
        <v>1351.44992899544</v>
      </c>
      <c r="Q18" s="64" t="n">
        <f aca="false">Q16-Q17</f>
        <v>1492.77261058901</v>
      </c>
      <c r="S18" s="64" t="n">
        <f aca="false">S16-S17</f>
        <v>3247.20815895983</v>
      </c>
      <c r="T18" s="64" t="n">
        <f aca="false">T16-T17</f>
        <v>4309.82343181703</v>
      </c>
      <c r="U18" s="64" t="n">
        <f aca="false">U16-U17</f>
        <v>5367.15800953673</v>
      </c>
      <c r="V18" s="74"/>
    </row>
    <row r="19" customFormat="false" ht="15" hidden="false" customHeight="false" outlineLevel="0" collapsed="false">
      <c r="C19" s="40" t="s">
        <v>746</v>
      </c>
      <c r="F19" s="41" t="n">
        <f aca="false">F15</f>
        <v>341</v>
      </c>
      <c r="G19" s="41" t="n">
        <f aca="false">G15</f>
        <v>418</v>
      </c>
      <c r="H19" s="62" t="n">
        <f aca="false">H15</f>
        <v>417.655153909794</v>
      </c>
      <c r="I19" s="62" t="n">
        <f aca="false">I15</f>
        <v>478.127801368717</v>
      </c>
      <c r="J19" s="62" t="n">
        <f aca="false">J15</f>
        <v>373.410514009357</v>
      </c>
      <c r="K19" s="62" t="n">
        <f aca="false">K15</f>
        <v>411.515016564103</v>
      </c>
      <c r="L19" s="62" t="n">
        <f aca="false">L15</f>
        <v>423.289046627974</v>
      </c>
      <c r="M19" s="62" t="n">
        <f aca="false">M15</f>
        <v>469.946759081305</v>
      </c>
      <c r="N19" s="62" t="n">
        <f aca="false">N15</f>
        <v>386.666655921097</v>
      </c>
      <c r="O19" s="62" t="n">
        <f aca="false">O15</f>
        <v>421.715768559737</v>
      </c>
      <c r="P19" s="62" t="n">
        <f aca="false">P15</f>
        <v>433.022716267273</v>
      </c>
      <c r="Q19" s="62" t="n">
        <f aca="false">Q15</f>
        <v>478.304402359268</v>
      </c>
      <c r="S19" s="62" t="n">
        <f aca="false">S15</f>
        <v>1654.78295527851</v>
      </c>
      <c r="T19" s="62" t="n">
        <f aca="false">T15</f>
        <v>1678.16133628274</v>
      </c>
      <c r="U19" s="62" t="n">
        <f aca="false">U15</f>
        <v>1719.70954310737</v>
      </c>
      <c r="V19" s="68"/>
    </row>
    <row r="20" customFormat="false" ht="15" hidden="false" customHeight="false" outlineLevel="0" collapsed="false">
      <c r="C20" s="40" t="s">
        <v>747</v>
      </c>
      <c r="F20" s="41" t="n">
        <f aca="false">'GEV Quarterly'!J308</f>
        <v>-397</v>
      </c>
      <c r="G20" s="41" t="n">
        <f aca="false">'GEV Quarterly'!K308</f>
        <v>-386</v>
      </c>
      <c r="H20" s="62" t="n">
        <f aca="false">-H11*'Key Drivers'!$H$121</f>
        <v>-381.856140717526</v>
      </c>
      <c r="I20" s="62" t="n">
        <f aca="false">-I11*'Key Drivers'!$H$121</f>
        <v>-437.145418394256</v>
      </c>
      <c r="J20" s="62" t="n">
        <f aca="false">-J11*'Key Drivers'!$I$121</f>
        <v>-362.095043887861</v>
      </c>
      <c r="K20" s="62" t="n">
        <f aca="false">-K11*'Key Drivers'!$I$121</f>
        <v>-399.044864547009</v>
      </c>
      <c r="L20" s="62" t="n">
        <f aca="false">-L11*'Key Drivers'!$I$121</f>
        <v>-410.462105821066</v>
      </c>
      <c r="M20" s="62" t="n">
        <f aca="false">-M11*'Key Drivers'!$I$121</f>
        <v>-455.705948200054</v>
      </c>
      <c r="N20" s="62" t="n">
        <f aca="false">-N11*'Key Drivers'!$J$121</f>
        <v>-374.193537988158</v>
      </c>
      <c r="O20" s="62" t="n">
        <f aca="false">-O11*'Key Drivers'!$J$121</f>
        <v>-408.112034090068</v>
      </c>
      <c r="P20" s="62" t="n">
        <f aca="false">-P11*'Key Drivers'!$J$121</f>
        <v>-419.054241548974</v>
      </c>
      <c r="Q20" s="62" t="n">
        <f aca="false">-Q11*'Key Drivers'!$J$121</f>
        <v>-462.875228089614</v>
      </c>
      <c r="S20" s="62" t="n">
        <f aca="false">SUM(F20:I20)</f>
        <v>-1602.00155911178</v>
      </c>
      <c r="T20" s="62" t="n">
        <f aca="false">SUM(J20:M20)</f>
        <v>-1627.30796245599</v>
      </c>
      <c r="U20" s="62" t="n">
        <f aca="false">SUM(N20:Q20)</f>
        <v>-1664.23504171681</v>
      </c>
      <c r="V20" s="68"/>
    </row>
    <row r="21" customFormat="false" ht="15" hidden="false" customHeight="false" outlineLevel="0" collapsed="false">
      <c r="C21" s="40" t="s">
        <v>748</v>
      </c>
      <c r="E21" s="58" t="s">
        <v>749</v>
      </c>
      <c r="F21" s="41" t="n">
        <f aca="false">SUM('GEV Quarterly'!J301:J304)</f>
        <v>-264</v>
      </c>
      <c r="G21" s="41" t="n">
        <f aca="false">SUM('GEV Quarterly'!K301:K304)</f>
        <v>-1732</v>
      </c>
      <c r="H21" s="62" t="n">
        <f aca="false">-'Key Drivers'!$H$122*(H11-Revenue!T18)</f>
        <v>-1178.40263845361</v>
      </c>
      <c r="I21" s="62" t="n">
        <f aca="false">-'Key Drivers'!$H$122*(I11-Revenue!U18)</f>
        <v>-1622.8765948923</v>
      </c>
      <c r="J21" s="62" t="n">
        <f aca="false">-'Key Drivers'!$I$122*(J11-Revenue!V18)</f>
        <v>-989.235060747828</v>
      </c>
      <c r="K21" s="62" t="n">
        <f aca="false">-'Key Drivers'!$I$122*(K11-Revenue!W18)</f>
        <v>-683.576008547017</v>
      </c>
      <c r="L21" s="62" t="n">
        <f aca="false">-'Key Drivers'!$I$122*(L11-Revenue!X18)</f>
        <v>-446.968204742807</v>
      </c>
      <c r="M21" s="62" t="n">
        <f aca="false">-'Key Drivers'!$I$122*(M11-Revenue!Y18)</f>
        <v>-290.008278215588</v>
      </c>
      <c r="N21" s="62" t="n">
        <f aca="false">-'Key Drivers'!$J$122*(N11-Revenue!Z18)</f>
        <v>-463.059124577183</v>
      </c>
      <c r="O21" s="62" t="n">
        <f aca="false">-'Key Drivers'!$J$122*(O11-Revenue!AA18)</f>
        <v>-453.432981029957</v>
      </c>
      <c r="P21" s="62" t="n">
        <f aca="false">-'Key Drivers'!$J$122*(P11-Revenue!AB18)</f>
        <v>-456.61356455633</v>
      </c>
      <c r="Q21" s="62" t="n">
        <f aca="false">-'Key Drivers'!$J$122*(Q11-Revenue!AC18)</f>
        <v>-475.345355360854</v>
      </c>
      <c r="S21" s="62" t="n">
        <f aca="false">SUM(F21:I21)</f>
        <v>-4797.27923334591</v>
      </c>
      <c r="T21" s="62" t="n">
        <f aca="false">SUM(J21:M21)</f>
        <v>-2409.78755225324</v>
      </c>
      <c r="U21" s="62" t="n">
        <f aca="false">SUM(N21:Q21)</f>
        <v>-1848.45102552432</v>
      </c>
      <c r="V21" s="68"/>
    </row>
    <row r="22" customFormat="false" ht="15" hidden="false" customHeight="false" outlineLevel="0" collapsed="false">
      <c r="C22" s="40" t="s">
        <v>750</v>
      </c>
      <c r="E22" s="58" t="s">
        <v>751</v>
      </c>
      <c r="F22" s="41" t="n">
        <f aca="false">'GEV Quarterly'!J305</f>
        <v>5574</v>
      </c>
      <c r="G22" s="41" t="n">
        <f aca="false">'GEV Quarterly'!K305</f>
        <v>8121</v>
      </c>
      <c r="H22" s="62" t="n">
        <f aca="false">H41-G41</f>
        <v>1924.35366579344</v>
      </c>
      <c r="I22" s="62" t="n">
        <f aca="false">I41-H41</f>
        <v>1495.78008426689</v>
      </c>
      <c r="J22" s="62" t="n">
        <f aca="false">J41-I41</f>
        <v>1417.46994343652</v>
      </c>
      <c r="K22" s="62" t="n">
        <f aca="false">K41-J41</f>
        <v>1223.40164302553</v>
      </c>
      <c r="L22" s="62" t="n">
        <f aca="false">L41-K41</f>
        <v>1400.65167492775</v>
      </c>
      <c r="M22" s="62" t="n">
        <f aca="false">M41-L41</f>
        <v>1700.41083204261</v>
      </c>
      <c r="N22" s="62" t="n">
        <f aca="false">N41-M41</f>
        <v>1100.87193055685</v>
      </c>
      <c r="O22" s="62" t="n">
        <f aca="false">O41-N41</f>
        <v>985.102381850644</v>
      </c>
      <c r="P22" s="62" t="n">
        <f aca="false">P41-O41</f>
        <v>1133.68068574698</v>
      </c>
      <c r="Q22" s="62" t="n">
        <f aca="false">Q41-P41</f>
        <v>1425.43472019327</v>
      </c>
      <c r="S22" s="62" t="n">
        <f aca="false">SUM(F22:I22)</f>
        <v>17115.1337500603</v>
      </c>
      <c r="T22" s="62" t="n">
        <f aca="false">SUM(J22:M22)</f>
        <v>5741.93409343241</v>
      </c>
      <c r="U22" s="62" t="n">
        <f aca="false">SUM(N22:Q22)</f>
        <v>4645.08971834774</v>
      </c>
      <c r="V22" s="68"/>
    </row>
    <row r="23" customFormat="false" ht="15" hidden="false" customHeight="false" outlineLevel="0" collapsed="false">
      <c r="C23" s="40" t="s">
        <v>752</v>
      </c>
      <c r="F23" s="41" t="n">
        <f aca="false">SUM('GEV Quarterly'!J297:J298)+'GEV Quarterly'!J306</f>
        <v>-627</v>
      </c>
      <c r="G23" s="41" t="n">
        <f aca="false">SUM('GEV Quarterly'!K297:K298)+'GEV Quarterly'!K306</f>
        <v>-1493</v>
      </c>
      <c r="H23" s="62" t="n">
        <f aca="false">-H11*'Key Drivers'!$H$123</f>
        <v>-298.325109935567</v>
      </c>
      <c r="I23" s="62" t="n">
        <f aca="false">-I11*'Key Drivers'!$H$123</f>
        <v>-341.519858120513</v>
      </c>
      <c r="J23" s="62" t="n">
        <f aca="false">-J11*'Key Drivers'!$I$123</f>
        <v>-226.309402429913</v>
      </c>
      <c r="K23" s="62" t="n">
        <f aca="false">-K11*'Key Drivers'!$I$123</f>
        <v>-249.403040341881</v>
      </c>
      <c r="L23" s="62" t="n">
        <f aca="false">-L11*'Key Drivers'!$I$123</f>
        <v>-256.538816138166</v>
      </c>
      <c r="M23" s="62" t="n">
        <f aca="false">-M11*'Key Drivers'!$I$123</f>
        <v>-284.816217625033</v>
      </c>
      <c r="N23" s="62" t="n">
        <f aca="false">-N11*'Key Drivers'!$J$123</f>
        <v>-187.096768994079</v>
      </c>
      <c r="O23" s="62" t="n">
        <f aca="false">-O11*'Key Drivers'!$J$123</f>
        <v>-204.056017045034</v>
      </c>
      <c r="P23" s="62" t="n">
        <f aca="false">-P11*'Key Drivers'!$J$123</f>
        <v>-209.527120774487</v>
      </c>
      <c r="Q23" s="62" t="n">
        <f aca="false">-Q11*'Key Drivers'!$J$123</f>
        <v>-231.437614044807</v>
      </c>
      <c r="S23" s="62" t="n">
        <f aca="false">SUM(F23:I23)</f>
        <v>-2759.84496805608</v>
      </c>
      <c r="T23" s="62" t="n">
        <f aca="false">SUM(J23:M23)</f>
        <v>-1017.06747653499</v>
      </c>
      <c r="U23" s="62" t="n">
        <f aca="false">SUM(N23:Q23)</f>
        <v>-832.117520858407</v>
      </c>
      <c r="V23" s="68"/>
    </row>
    <row r="24" customFormat="false" ht="15" hidden="false" customHeight="false" outlineLevel="0" collapsed="false">
      <c r="C24" s="42" t="s">
        <v>753</v>
      </c>
      <c r="D24" s="112"/>
      <c r="E24" s="112"/>
      <c r="F24" s="43" t="n">
        <f aca="false">F18+F19+F20+F21+F22+F23</f>
        <v>5043.25</v>
      </c>
      <c r="G24" s="43" t="n">
        <f aca="false">G18+G19+G20+G21+G22+G23</f>
        <v>5552</v>
      </c>
      <c r="H24" s="64" t="n">
        <f aca="false">H18+H19+H20+H21+H22+H23</f>
        <v>1512.41018212574</v>
      </c>
      <c r="I24" s="64" t="n">
        <f aca="false">I18+I19+I20+I21+I22+I23</f>
        <v>750.33892165915</v>
      </c>
      <c r="J24" s="64" t="n">
        <f aca="false">J18+J19+J20+J21+J22+J23</f>
        <v>1172.22704317703</v>
      </c>
      <c r="K24" s="64" t="n">
        <f aca="false">K18+K19+K20+K21+K22+K23</f>
        <v>1359.73812960245</v>
      </c>
      <c r="L24" s="64" t="n">
        <f aca="false">L18+L19+L20+L21+L22+L23</f>
        <v>1797.05482823916</v>
      </c>
      <c r="M24" s="64" t="n">
        <f aca="false">M18+M19+M20+M21+M22+M23</f>
        <v>2346.73586926932</v>
      </c>
      <c r="N24" s="64" t="n">
        <f aca="false">N18+N19+N20+N21+N22+N23</f>
        <v>1669.96331493034</v>
      </c>
      <c r="O24" s="64" t="n">
        <f aca="false">O18+O19+O20+O21+O22+O23</f>
        <v>1657.37842818579</v>
      </c>
      <c r="P24" s="64" t="n">
        <f aca="false">P18+P19+P20+P21+P22+P23</f>
        <v>1832.9584041299</v>
      </c>
      <c r="Q24" s="64" t="n">
        <f aca="false">Q18+Q19+Q20+Q21+Q22+Q23</f>
        <v>2226.85353564627</v>
      </c>
      <c r="S24" s="64" t="n">
        <f aca="false">S18+S19+S20+S21+S22+S23</f>
        <v>12857.9991037849</v>
      </c>
      <c r="T24" s="64" t="n">
        <f aca="false">T18+T19+T20+T21+T22+T23</f>
        <v>6675.75587028796</v>
      </c>
      <c r="U24" s="64" t="n">
        <f aca="false">U18+U19+U20+U21+U22+U23</f>
        <v>7387.1536828923</v>
      </c>
      <c r="V24" s="74"/>
    </row>
    <row r="25" customFormat="false" ht="15" hidden="false" customHeight="false" outlineLevel="0" collapsed="false">
      <c r="C25" s="46" t="s">
        <v>754</v>
      </c>
      <c r="E25" s="58" t="s">
        <v>755</v>
      </c>
      <c r="F25" s="51" t="n">
        <f aca="false">F24-F22</f>
        <v>-530.75</v>
      </c>
      <c r="G25" s="51" t="n">
        <f aca="false">G24-G22</f>
        <v>-2569</v>
      </c>
      <c r="H25" s="67" t="n">
        <f aca="false">H24-H22</f>
        <v>-411.943483667696</v>
      </c>
      <c r="I25" s="67" t="n">
        <f aca="false">I24-I22</f>
        <v>-745.441162607737</v>
      </c>
      <c r="J25" s="67" t="n">
        <f aca="false">J24-J22</f>
        <v>-245.242900259489</v>
      </c>
      <c r="K25" s="67" t="n">
        <f aca="false">K24-K22</f>
        <v>136.336486576916</v>
      </c>
      <c r="L25" s="67" t="n">
        <f aca="false">L24-L22</f>
        <v>396.403153311414</v>
      </c>
      <c r="M25" s="67" t="n">
        <f aca="false">M24-M22</f>
        <v>646.325037226709</v>
      </c>
      <c r="N25" s="67" t="n">
        <f aca="false">N24-N22</f>
        <v>569.091384373488</v>
      </c>
      <c r="O25" s="67" t="n">
        <f aca="false">O24-O22</f>
        <v>672.276046335147</v>
      </c>
      <c r="P25" s="67" t="n">
        <f aca="false">P24-P22</f>
        <v>699.277718382923</v>
      </c>
      <c r="Q25" s="67" t="n">
        <f aca="false">Q24-Q22</f>
        <v>801.418815452999</v>
      </c>
      <c r="S25" s="67" t="n">
        <f aca="false">S24-S22</f>
        <v>-4257.13464627543</v>
      </c>
      <c r="T25" s="67" t="n">
        <f aca="false">T24-T22</f>
        <v>933.821776855551</v>
      </c>
      <c r="U25" s="67" t="n">
        <f aca="false">U24-U22</f>
        <v>2742.06396454456</v>
      </c>
      <c r="V25" s="68"/>
    </row>
    <row r="27" customFormat="false" ht="15" hidden="false" customHeight="false" outlineLevel="0" collapsed="false">
      <c r="C27" s="40" t="s">
        <v>756</v>
      </c>
      <c r="E27" s="58" t="s">
        <v>757</v>
      </c>
      <c r="F27" s="40"/>
      <c r="G27" s="40"/>
      <c r="H27" s="115" t="n">
        <f aca="false">(H$8-$N$49)/365-0.125</f>
        <v>0.127054794520548</v>
      </c>
      <c r="I27" s="115" t="n">
        <f aca="false">(I$8-$N$49)/365-0.125</f>
        <v>0.379109589041096</v>
      </c>
      <c r="J27" s="115" t="n">
        <f aca="false">(J$8-$N$49)/365-0.125</f>
        <v>0.625684931506849</v>
      </c>
      <c r="K27" s="115" t="n">
        <f aca="false">(K$8-$N$49)/365-0.125</f>
        <v>0.875</v>
      </c>
      <c r="L27" s="115" t="n">
        <f aca="false">(L$8-$N$49)/365-0.125</f>
        <v>1.12705479452055</v>
      </c>
      <c r="M27" s="115" t="n">
        <f aca="false">(M$8-$N$49)/365-0.125</f>
        <v>1.3791095890411</v>
      </c>
      <c r="N27" s="115" t="n">
        <f aca="false">(N$8-$N$49)/365-0.125</f>
        <v>1.62842465753425</v>
      </c>
      <c r="O27" s="115" t="n">
        <f aca="false">(O$8-$N$49)/365-0.125</f>
        <v>1.8777397260274</v>
      </c>
      <c r="P27" s="115" t="n">
        <f aca="false">(P$8-$N$49)/365-0.125</f>
        <v>2.12979452054795</v>
      </c>
      <c r="Q27" s="115" t="n">
        <f aca="false">(Q$8-$N$49)/365-0.125</f>
        <v>2.38184931506849</v>
      </c>
      <c r="S27" s="68"/>
      <c r="T27" s="68"/>
      <c r="U27" s="68"/>
      <c r="V27" s="68"/>
    </row>
    <row r="28" customFormat="false" ht="15" hidden="false" customHeight="false" outlineLevel="0" collapsed="false">
      <c r="C28" s="46" t="s">
        <v>758</v>
      </c>
      <c r="F28" s="40"/>
      <c r="G28" s="40"/>
      <c r="H28" s="116" t="n">
        <f aca="false">1/(1+$N$53)^H27</f>
        <v>0.988093832569412</v>
      </c>
      <c r="I28" s="116" t="n">
        <f aca="false">1/(1+$N$53)^I27</f>
        <v>0.964891969622448</v>
      </c>
      <c r="J28" s="116" t="n">
        <f aca="false">1/(1+$N$53)^J27</f>
        <v>0.942721761418053</v>
      </c>
      <c r="K28" s="116" t="n">
        <f aca="false">1/(1+$N$53)^K27</f>
        <v>0.920823096962304</v>
      </c>
      <c r="L28" s="116" t="n">
        <f aca="false">1/(1+$N$53)^L27</f>
        <v>0.899200847546413</v>
      </c>
      <c r="M28" s="116" t="n">
        <f aca="false">1/(1+$N$53)^M27</f>
        <v>0.878086319615079</v>
      </c>
      <c r="N28" s="116" t="n">
        <f aca="false">1/(1+$N$53)^N27</f>
        <v>0.857689084223472</v>
      </c>
      <c r="O28" s="116" t="n">
        <f aca="false">1/(1+$N$53)^O27</f>
        <v>0.837765660121628</v>
      </c>
      <c r="P28" s="116" t="n">
        <f aca="false">1/(1+$N$53)^P27</f>
        <v>0.818093718665147</v>
      </c>
      <c r="Q28" s="116" t="n">
        <f aca="false">1/(1+$N$53)^Q27</f>
        <v>0.798883702660004</v>
      </c>
      <c r="S28" s="68"/>
      <c r="T28" s="68"/>
      <c r="U28" s="68"/>
      <c r="V28" s="68"/>
    </row>
    <row r="29" customFormat="false" ht="15" hidden="false" customHeight="false" outlineLevel="0" collapsed="false">
      <c r="C29" s="42" t="s">
        <v>759</v>
      </c>
      <c r="D29" s="112"/>
      <c r="E29" s="112"/>
      <c r="F29" s="73"/>
      <c r="G29" s="73"/>
      <c r="H29" s="64" t="n">
        <f aca="false">H24*H28</f>
        <v>1494.40317327363</v>
      </c>
      <c r="I29" s="64" t="n">
        <f aca="false">I24*I28</f>
        <v>723.996000004081</v>
      </c>
      <c r="J29" s="64" t="n">
        <f aca="false">J24*J28</f>
        <v>1105.08394292572</v>
      </c>
      <c r="K29" s="64" t="n">
        <f aca="false">K24*K28</f>
        <v>1252.07827555825</v>
      </c>
      <c r="L29" s="64" t="n">
        <f aca="false">L24*L28</f>
        <v>1615.91322464003</v>
      </c>
      <c r="M29" s="64" t="n">
        <f aca="false">M24*M28</f>
        <v>2060.63666255539</v>
      </c>
      <c r="N29" s="64" t="n">
        <f aca="false">N24*N28</f>
        <v>1432.3093062694</v>
      </c>
      <c r="O29" s="64" t="n">
        <f aca="false">O24*O28</f>
        <v>1388.49473296041</v>
      </c>
      <c r="P29" s="64" t="n">
        <f aca="false">P24*P28</f>
        <v>1499.53175699316</v>
      </c>
      <c r="Q29" s="64" t="n">
        <f aca="false">Q24*Q28</f>
        <v>1778.99699783861</v>
      </c>
      <c r="S29" s="74"/>
      <c r="T29" s="74"/>
      <c r="U29" s="74"/>
      <c r="V29" s="74"/>
    </row>
    <row r="31" customFormat="false" ht="15" hidden="false" customHeight="false" outlineLevel="0" collapsed="false">
      <c r="C31" s="61" t="s">
        <v>750</v>
      </c>
      <c r="D31" s="61"/>
      <c r="E31" s="61"/>
      <c r="F31" s="61"/>
      <c r="G31" s="61"/>
      <c r="H31" s="61"/>
      <c r="I31" s="61"/>
      <c r="J31" s="61"/>
      <c r="K31" s="61"/>
      <c r="L31" s="61"/>
      <c r="M31" s="61"/>
      <c r="N31" s="61"/>
      <c r="O31" s="61"/>
      <c r="P31" s="61"/>
      <c r="Q31" s="61"/>
      <c r="R31" s="61"/>
      <c r="S31" s="61"/>
      <c r="T31" s="61"/>
      <c r="U31" s="61"/>
      <c r="V31" s="61"/>
    </row>
    <row r="32" customFormat="false" ht="15" hidden="false" customHeight="false" outlineLevel="0" collapsed="false">
      <c r="C32" s="40" t="s">
        <v>760</v>
      </c>
      <c r="E32" s="58" t="s">
        <v>738</v>
      </c>
      <c r="F32" s="78" t="n">
        <f aca="false">Revenue!V58</f>
        <v>44</v>
      </c>
      <c r="G32" s="78" t="n">
        <f aca="false">Revenue!W58</f>
        <v>53</v>
      </c>
      <c r="H32" s="77" t="n">
        <f aca="false">Revenue!X58</f>
        <v>58.17375</v>
      </c>
      <c r="I32" s="77" t="n">
        <f aca="false">Revenue!Y58</f>
        <v>63.0338328125</v>
      </c>
      <c r="J32" s="77" t="n">
        <f aca="false">Revenue!Z58</f>
        <v>66.0472245214844</v>
      </c>
      <c r="K32" s="77" t="n">
        <f aca="false">Revenue!AA58</f>
        <v>68.9435256308325</v>
      </c>
      <c r="L32" s="77" t="n">
        <f aca="false">Revenue!AB58</f>
        <v>71.808433199444</v>
      </c>
      <c r="M32" s="77" t="n">
        <f aca="false">Revenue!AC58</f>
        <v>74.5423007185906</v>
      </c>
      <c r="N32" s="77" t="n">
        <f aca="false">Revenue!AD58</f>
        <v>77.196291527122</v>
      </c>
      <c r="O32" s="77" t="n">
        <f aca="false">Revenue!AE58</f>
        <v>79.5913700569887</v>
      </c>
      <c r="P32" s="77" t="n">
        <f aca="false">Revenue!AF58</f>
        <v>81.7351984145299</v>
      </c>
      <c r="Q32" s="77" t="n">
        <f aca="false">Revenue!AG58</f>
        <v>83.6346769356876</v>
      </c>
    </row>
    <row r="33" customFormat="false" ht="15" hidden="false" customHeight="false" outlineLevel="0" collapsed="false">
      <c r="C33" s="40" t="s">
        <v>761</v>
      </c>
      <c r="E33" s="58" t="s">
        <v>762</v>
      </c>
      <c r="F33" s="41" t="n">
        <f aca="false">'GEV Quarterly'!J236</f>
        <v>28530</v>
      </c>
      <c r="G33" s="41" t="n">
        <f aca="false">'GEV Quarterly'!K236</f>
        <v>39261</v>
      </c>
      <c r="H33" s="62" t="n">
        <f aca="false">H32*'Key Drivers'!$H$125</f>
        <v>43106.74875</v>
      </c>
      <c r="I33" s="62" t="n">
        <f aca="false">I32*'Key Drivers'!$H$125</f>
        <v>46708.0701140625</v>
      </c>
      <c r="J33" s="62" t="n">
        <f aca="false">J32*'Key Drivers'!$I$125</f>
        <v>48940.9933704199</v>
      </c>
      <c r="K33" s="62" t="n">
        <f aca="false">K32*'Key Drivers'!$I$125</f>
        <v>51087.1524924469</v>
      </c>
      <c r="L33" s="62" t="n">
        <f aca="false">L32*'Key Drivers'!$I$125</f>
        <v>53210.049000788</v>
      </c>
      <c r="M33" s="62" t="n">
        <f aca="false">M32*'Key Drivers'!$I$125</f>
        <v>55235.8448324756</v>
      </c>
      <c r="N33" s="62" t="n">
        <f aca="false">N32*'Key Drivers'!$J$125</f>
        <v>57202.4520215974</v>
      </c>
      <c r="O33" s="62" t="n">
        <f aca="false">O32*'Key Drivers'!$J$125</f>
        <v>58977.2052122286</v>
      </c>
      <c r="P33" s="62" t="n">
        <f aca="false">P32*'Key Drivers'!$J$125</f>
        <v>60565.7820251666</v>
      </c>
      <c r="Q33" s="62" t="n">
        <f aca="false">Q32*'Key Drivers'!$J$125</f>
        <v>61973.2956093445</v>
      </c>
    </row>
    <row r="34" customFormat="false" ht="15" hidden="false" customHeight="false" outlineLevel="0" collapsed="false">
      <c r="C34" s="40" t="s">
        <v>763</v>
      </c>
      <c r="E34" s="58" t="s">
        <v>764</v>
      </c>
      <c r="F34" s="41" t="n">
        <f aca="false">'GEV Quarterly'!J240</f>
        <v>38598</v>
      </c>
      <c r="G34" s="41" t="n">
        <f aca="false">'GEV Quarterly'!K240</f>
        <v>40589</v>
      </c>
      <c r="H34" s="62" t="n">
        <f aca="false">Revenue!X92</f>
        <v>43408.0482033898</v>
      </c>
      <c r="I34" s="62" t="n">
        <f aca="false">Revenue!Y92</f>
        <v>47594.2278847458</v>
      </c>
      <c r="J34" s="62" t="n">
        <f aca="false">Revenue!Z92</f>
        <v>49912.126915122</v>
      </c>
      <c r="K34" s="62" t="n">
        <f aca="false">Revenue!AA92</f>
        <v>52349.8768883042</v>
      </c>
      <c r="L34" s="62" t="n">
        <f aca="false">Revenue!AB92</f>
        <v>55972.5932669528</v>
      </c>
      <c r="M34" s="62" t="n">
        <f aca="false">Revenue!AC92</f>
        <v>61240.8311626178</v>
      </c>
      <c r="N34" s="62" t="n">
        <f aca="false">Revenue!AD92</f>
        <v>63385.8755635233</v>
      </c>
      <c r="O34" s="62" t="n">
        <f aca="false">Revenue!AE92</f>
        <v>65692.2750167505</v>
      </c>
      <c r="P34" s="62" t="n">
        <f aca="false">Revenue!AF92</f>
        <v>69302.1602621122</v>
      </c>
      <c r="Q34" s="62" t="n">
        <f aca="false">Revenue!AG92</f>
        <v>74714.4509818226</v>
      </c>
    </row>
    <row r="35" customFormat="false" ht="15" hidden="false" customHeight="false" outlineLevel="0" collapsed="false">
      <c r="C35" s="40" t="s">
        <v>765</v>
      </c>
      <c r="E35" s="58" t="s">
        <v>766</v>
      </c>
      <c r="F35" s="41" t="n">
        <f aca="false">'GEV Quarterly'!J244</f>
        <v>8905</v>
      </c>
      <c r="G35" s="41" t="n">
        <f aca="false">'GEV Quarterly'!K244</f>
        <v>8197</v>
      </c>
      <c r="H35" s="62" t="n">
        <f aca="false">'Key Drivers'!$H$128*SUM(Revenue!U105:X105)</f>
        <v>8789.47882308846</v>
      </c>
      <c r="I35" s="62" t="n">
        <f aca="false">'Key Drivers'!$H$128*SUM(Revenue!V105:Y105)</f>
        <v>8462.29239130435</v>
      </c>
      <c r="J35" s="62" t="n">
        <f aca="false">'Key Drivers'!$I$128*SUM(Revenue!W105:Z105)</f>
        <v>8319.06973506522</v>
      </c>
      <c r="K35" s="62" t="n">
        <f aca="false">'Key Drivers'!$I$128*SUM(Revenue!X105:AA105)</f>
        <v>7813.60619341304</v>
      </c>
      <c r="L35" s="62" t="n">
        <f aca="false">'Key Drivers'!$I$128*SUM(Revenue!Y105:AB105)</f>
        <v>7192.42294325937</v>
      </c>
      <c r="M35" s="62" t="n">
        <f aca="false">'Key Drivers'!$I$128*SUM(Revenue!Z105:AC105)</f>
        <v>6612.65190978261</v>
      </c>
      <c r="N35" s="62" t="n">
        <f aca="false">'Key Drivers'!$J$128*SUM(Revenue!AA105:AD105)</f>
        <v>6470.42902716913</v>
      </c>
      <c r="O35" s="62" t="n">
        <f aca="false">'Key Drivers'!$J$128*SUM(Revenue!AB105:AE105)</f>
        <v>6280.79851701783</v>
      </c>
      <c r="P35" s="62" t="n">
        <f aca="false">'Key Drivers'!$J$128*SUM(Revenue!AC105:AF105)</f>
        <v>6043.7603793287</v>
      </c>
      <c r="Q35" s="62" t="n">
        <f aca="false">'Key Drivers'!$J$128*SUM(Revenue!AD105:AG105)</f>
        <v>5822.52478415218</v>
      </c>
    </row>
    <row r="36" customFormat="false" ht="15" hidden="false" customHeight="false" outlineLevel="0" collapsed="false">
      <c r="C36" s="42" t="s">
        <v>767</v>
      </c>
      <c r="D36" s="112"/>
      <c r="E36" s="112"/>
      <c r="F36" s="43" t="n">
        <f aca="false">F33+F34+F35</f>
        <v>76033</v>
      </c>
      <c r="G36" s="43" t="n">
        <f aca="false">G33+G34+G35</f>
        <v>88047</v>
      </c>
      <c r="H36" s="64" t="n">
        <f aca="false">H33+H34+H35</f>
        <v>95304.2757764783</v>
      </c>
      <c r="I36" s="64" t="n">
        <f aca="false">I33+I34+I35</f>
        <v>102764.590390113</v>
      </c>
      <c r="J36" s="64" t="n">
        <f aca="false">J33+J34+J35</f>
        <v>107172.190020607</v>
      </c>
      <c r="K36" s="64" t="n">
        <f aca="false">K33+K34+K35</f>
        <v>111250.635574164</v>
      </c>
      <c r="L36" s="64" t="n">
        <f aca="false">L33+L34+L35</f>
        <v>116375.065211</v>
      </c>
      <c r="M36" s="64" t="n">
        <f aca="false">M33+M34+M35</f>
        <v>123089.327904876</v>
      </c>
      <c r="N36" s="64" t="n">
        <f aca="false">N33+N34+N35</f>
        <v>127058.75661229</v>
      </c>
      <c r="O36" s="64" t="n">
        <f aca="false">O33+O34+O35</f>
        <v>130950.278745997</v>
      </c>
      <c r="P36" s="64" t="n">
        <f aca="false">P33+P34+P35</f>
        <v>135911.702666607</v>
      </c>
      <c r="Q36" s="64" t="n">
        <f aca="false">Q33+Q34+Q35</f>
        <v>142510.271375319</v>
      </c>
    </row>
    <row r="37" customFormat="false" ht="15" hidden="false" customHeight="false" outlineLevel="0" collapsed="false">
      <c r="C37" s="46" t="s">
        <v>768</v>
      </c>
      <c r="E37" s="58" t="s">
        <v>769</v>
      </c>
      <c r="F37" s="65" t="n">
        <f aca="false">'GEV Quarterly'!J287/'GEV Quarterly'!J236</f>
        <v>0.64770417104802</v>
      </c>
      <c r="G37" s="65" t="n">
        <f aca="false">'GEV Quarterly'!K287/'GEV Quarterly'!K236</f>
        <v>0.657115203382492</v>
      </c>
      <c r="H37" s="66" t="n">
        <f aca="false">G37+('Key Drivers'!$H$109-G37)*0.5</f>
        <v>0.623557601691246</v>
      </c>
      <c r="I37" s="66" t="n">
        <f aca="false">'Key Drivers'!$H$109</f>
        <v>0.59</v>
      </c>
      <c r="J37" s="66" t="n">
        <f aca="false">'Key Drivers'!$H$109+('Key Drivers'!$I$109-'Key Drivers'!$H$109)*1/4</f>
        <v>0.5825</v>
      </c>
      <c r="K37" s="66" t="n">
        <f aca="false">'Key Drivers'!$H$109+('Key Drivers'!$I$109-'Key Drivers'!$H$109)*2/4</f>
        <v>0.575</v>
      </c>
      <c r="L37" s="66" t="n">
        <f aca="false">'Key Drivers'!$H$109+('Key Drivers'!$I$109-'Key Drivers'!$H$109)*3/4</f>
        <v>0.5675</v>
      </c>
      <c r="M37" s="66" t="n">
        <f aca="false">'Key Drivers'!$H$109+('Key Drivers'!$I$109-'Key Drivers'!$H$109)*4/4</f>
        <v>0.56</v>
      </c>
      <c r="N37" s="66" t="n">
        <f aca="false">'Key Drivers'!$I$109+('Key Drivers'!$J$109-'Key Drivers'!$I$109)*1/4</f>
        <v>0.5525</v>
      </c>
      <c r="O37" s="66" t="n">
        <f aca="false">'Key Drivers'!$I$109+('Key Drivers'!$J$109-'Key Drivers'!$I$109)*2/4</f>
        <v>0.545</v>
      </c>
      <c r="P37" s="66" t="n">
        <f aca="false">'Key Drivers'!$I$109+('Key Drivers'!$J$109-'Key Drivers'!$I$109)*3/4</f>
        <v>0.5375</v>
      </c>
      <c r="Q37" s="66" t="n">
        <f aca="false">'Key Drivers'!$I$109+('Key Drivers'!$J$109-'Key Drivers'!$I$109)*4/4</f>
        <v>0.53</v>
      </c>
    </row>
    <row r="38" customFormat="false" ht="15" hidden="false" customHeight="false" outlineLevel="0" collapsed="false">
      <c r="C38" s="40" t="s">
        <v>770</v>
      </c>
      <c r="F38" s="41" t="n">
        <f aca="false">'GEV Quarterly'!J287</f>
        <v>18479</v>
      </c>
      <c r="G38" s="41" t="n">
        <f aca="false">'GEV Quarterly'!K287</f>
        <v>25799</v>
      </c>
      <c r="H38" s="62" t="n">
        <f aca="false">H33*H37</f>
        <v>26879.5408672571</v>
      </c>
      <c r="I38" s="62" t="n">
        <f aca="false">I33*I37</f>
        <v>27557.7613672969</v>
      </c>
      <c r="J38" s="62" t="n">
        <f aca="false">J33*J37</f>
        <v>28508.1286382696</v>
      </c>
      <c r="K38" s="62" t="n">
        <f aca="false">K33*K37</f>
        <v>29375.112683157</v>
      </c>
      <c r="L38" s="62" t="n">
        <f aca="false">L33*L37</f>
        <v>30196.7028079472</v>
      </c>
      <c r="M38" s="62" t="n">
        <f aca="false">M33*M37</f>
        <v>30932.0731061863</v>
      </c>
      <c r="N38" s="62" t="n">
        <f aca="false">N33*N37</f>
        <v>31604.3547419326</v>
      </c>
      <c r="O38" s="62" t="n">
        <f aca="false">O33*O37</f>
        <v>32142.5768406646</v>
      </c>
      <c r="P38" s="62" t="n">
        <f aca="false">P33*P37</f>
        <v>32554.1078385271</v>
      </c>
      <c r="Q38" s="62" t="n">
        <f aca="false">Q33*Q37</f>
        <v>32845.8466729526</v>
      </c>
    </row>
    <row r="39" customFormat="false" ht="15" hidden="false" customHeight="false" outlineLevel="0" collapsed="false">
      <c r="C39" s="40" t="s">
        <v>771</v>
      </c>
      <c r="F39" s="41" t="n">
        <f aca="false">'GEV Quarterly'!J288</f>
        <v>8259</v>
      </c>
      <c r="G39" s="41" t="n">
        <f aca="false">'GEV Quarterly'!K288</f>
        <v>9113</v>
      </c>
      <c r="H39" s="62" t="n">
        <f aca="false">H34*'Key Drivers'!$H$126</f>
        <v>9766.81084576271</v>
      </c>
      <c r="I39" s="62" t="n">
        <f aca="false">I34*'Key Drivers'!$H$126</f>
        <v>10708.7012740678</v>
      </c>
      <c r="J39" s="62" t="n">
        <f aca="false">J34*'Key Drivers'!$I$126</f>
        <v>11230.2285559025</v>
      </c>
      <c r="K39" s="62" t="n">
        <f aca="false">K34*'Key Drivers'!$I$126</f>
        <v>11778.7222998685</v>
      </c>
      <c r="L39" s="62" t="n">
        <f aca="false">L34*'Key Drivers'!$I$126</f>
        <v>12593.8334850644</v>
      </c>
      <c r="M39" s="62" t="n">
        <f aca="false">M34*'Key Drivers'!$I$126</f>
        <v>13779.187011589</v>
      </c>
      <c r="N39" s="62" t="n">
        <f aca="false">N34*'Key Drivers'!$J$126</f>
        <v>14261.8220017928</v>
      </c>
      <c r="O39" s="62" t="n">
        <f aca="false">O34*'Key Drivers'!$J$126</f>
        <v>14780.7618787689</v>
      </c>
      <c r="P39" s="62" t="n">
        <f aca="false">P34*'Key Drivers'!$J$126</f>
        <v>15592.9860589752</v>
      </c>
      <c r="Q39" s="62" t="n">
        <f aca="false">Q34*'Key Drivers'!$J$126</f>
        <v>16810.7514709101</v>
      </c>
    </row>
    <row r="40" customFormat="false" ht="15" hidden="false" customHeight="false" outlineLevel="0" collapsed="false">
      <c r="C40" s="40" t="s">
        <v>772</v>
      </c>
      <c r="F40" s="41" t="n">
        <f aca="false">'GEV Quarterly'!J289</f>
        <v>3173</v>
      </c>
      <c r="G40" s="41" t="n">
        <f aca="false">'GEV Quarterly'!K289</f>
        <v>3150</v>
      </c>
      <c r="H40" s="62" t="n">
        <f aca="false">H35*'Key Drivers'!$H$127</f>
        <v>3340.00195277361</v>
      </c>
      <c r="I40" s="62" t="n">
        <f aca="false">I35*'Key Drivers'!$H$127</f>
        <v>3215.67110869565</v>
      </c>
      <c r="J40" s="62" t="n">
        <f aca="false">J35*'Key Drivers'!$I$127</f>
        <v>3161.24649932478</v>
      </c>
      <c r="K40" s="62" t="n">
        <f aca="false">K35*'Key Drivers'!$I$127</f>
        <v>2969.17035349696</v>
      </c>
      <c r="L40" s="62" t="n">
        <f aca="false">L35*'Key Drivers'!$I$127</f>
        <v>2733.12071843856</v>
      </c>
      <c r="M40" s="62" t="n">
        <f aca="false">M35*'Key Drivers'!$I$127</f>
        <v>2512.80772571739</v>
      </c>
      <c r="N40" s="62" t="n">
        <f aca="false">N35*'Key Drivers'!$J$127</f>
        <v>2458.76303032427</v>
      </c>
      <c r="O40" s="62" t="n">
        <f aca="false">O35*'Key Drivers'!$J$127</f>
        <v>2386.70343646677</v>
      </c>
      <c r="P40" s="62" t="n">
        <f aca="false">P35*'Key Drivers'!$J$127</f>
        <v>2296.6289441449</v>
      </c>
      <c r="Q40" s="62" t="n">
        <f aca="false">Q35*'Key Drivers'!$J$127</f>
        <v>2212.55941797783</v>
      </c>
    </row>
    <row r="41" customFormat="false" ht="15" hidden="false" customHeight="false" outlineLevel="0" collapsed="false">
      <c r="C41" s="42" t="s">
        <v>773</v>
      </c>
      <c r="D41" s="112"/>
      <c r="E41" s="112"/>
      <c r="F41" s="43" t="n">
        <f aca="false">F38+F39+F40</f>
        <v>29911</v>
      </c>
      <c r="G41" s="43" t="n">
        <f aca="false">G38+G39+G40</f>
        <v>38062</v>
      </c>
      <c r="H41" s="64" t="n">
        <f aca="false">H38+H39+H40</f>
        <v>39986.3536657934</v>
      </c>
      <c r="I41" s="64" t="n">
        <f aca="false">I38+I39+I40</f>
        <v>41482.1337500603</v>
      </c>
      <c r="J41" s="64" t="n">
        <f aca="false">J38+J39+J40</f>
        <v>42899.6036934968</v>
      </c>
      <c r="K41" s="64" t="n">
        <f aca="false">K38+K39+K40</f>
        <v>44123.0053365224</v>
      </c>
      <c r="L41" s="64" t="n">
        <f aca="false">L38+L39+L40</f>
        <v>45523.6570114501</v>
      </c>
      <c r="M41" s="64" t="n">
        <f aca="false">M38+M39+M40</f>
        <v>47224.0678434927</v>
      </c>
      <c r="N41" s="64" t="n">
        <f aca="false">N38+N39+N40</f>
        <v>48324.9397740496</v>
      </c>
      <c r="O41" s="64" t="n">
        <f aca="false">O38+O39+O40</f>
        <v>49310.0421559002</v>
      </c>
      <c r="P41" s="64" t="n">
        <f aca="false">P38+P39+P40</f>
        <v>50443.7228416472</v>
      </c>
      <c r="Q41" s="64" t="n">
        <f aca="false">Q38+Q39+Q40</f>
        <v>51869.1575618405</v>
      </c>
    </row>
    <row r="42" customFormat="false" ht="15" hidden="false" customHeight="false" outlineLevel="0" collapsed="false">
      <c r="C42" s="46" t="s">
        <v>774</v>
      </c>
      <c r="F42" s="65" t="n">
        <f aca="false">F41/F36</f>
        <v>0.393394973235306</v>
      </c>
      <c r="G42" s="65" t="n">
        <f aca="false">G41/G36</f>
        <v>0.432291844128704</v>
      </c>
      <c r="H42" s="66" t="n">
        <f aca="false">H41/H36</f>
        <v>0.419565159485345</v>
      </c>
      <c r="I42" s="66" t="n">
        <f aca="false">I41/I36</f>
        <v>0.40366174372502</v>
      </c>
      <c r="J42" s="66" t="n">
        <f aca="false">J41/J36</f>
        <v>0.400286713234544</v>
      </c>
      <c r="K42" s="66" t="n">
        <f aca="false">K41/K36</f>
        <v>0.396609018086087</v>
      </c>
      <c r="L42" s="66" t="n">
        <f aca="false">L41/L36</f>
        <v>0.391180507000456</v>
      </c>
      <c r="M42" s="66" t="n">
        <f aca="false">M41/M36</f>
        <v>0.383656882747688</v>
      </c>
      <c r="N42" s="66" t="n">
        <f aca="false">N41/N36</f>
        <v>0.380335374456004</v>
      </c>
      <c r="O42" s="66" t="n">
        <f aca="false">O41/O36</f>
        <v>0.376555457751613</v>
      </c>
      <c r="P42" s="66" t="n">
        <f aca="false">P41/P36</f>
        <v>0.371150694546047</v>
      </c>
      <c r="Q42" s="66" t="n">
        <f aca="false">Q41/Q36</f>
        <v>0.363967853413431</v>
      </c>
    </row>
    <row r="44" customFormat="false" ht="15" hidden="false" customHeight="false" outlineLevel="0" collapsed="false">
      <c r="C44" s="61" t="s">
        <v>775</v>
      </c>
      <c r="D44" s="61"/>
      <c r="E44" s="61"/>
      <c r="F44" s="61"/>
      <c r="G44" s="61"/>
      <c r="H44" s="61"/>
      <c r="I44" s="61"/>
      <c r="J44" s="61"/>
      <c r="K44" s="117" t="s">
        <v>776</v>
      </c>
      <c r="L44" s="117"/>
      <c r="M44" s="117"/>
      <c r="N44" s="117"/>
      <c r="O44" s="61"/>
      <c r="P44" s="61"/>
      <c r="Q44" s="61"/>
      <c r="R44" s="61"/>
      <c r="S44" s="61"/>
      <c r="T44" s="61"/>
      <c r="U44" s="61"/>
      <c r="V44" s="61"/>
    </row>
    <row r="45" customFormat="false" ht="15" hidden="false" customHeight="false" outlineLevel="0" collapsed="false">
      <c r="C45" s="40" t="s">
        <v>777</v>
      </c>
      <c r="E45" s="58" t="s">
        <v>778</v>
      </c>
      <c r="F45" s="52" t="n">
        <f aca="false">$N$55</f>
        <v>20</v>
      </c>
      <c r="K45" s="40" t="s">
        <v>779</v>
      </c>
      <c r="N45" s="118" t="s">
        <v>780</v>
      </c>
    </row>
    <row r="46" customFormat="false" ht="15" hidden="false" customHeight="false" outlineLevel="0" collapsed="false">
      <c r="C46" s="40" t="s">
        <v>781</v>
      </c>
      <c r="F46" s="41" t="n">
        <f aca="false">V13</f>
        <v>9676.99386038312</v>
      </c>
      <c r="K46" s="40" t="s">
        <v>782</v>
      </c>
      <c r="N46" s="118" t="s">
        <v>783</v>
      </c>
    </row>
    <row r="47" customFormat="false" ht="15" hidden="false" customHeight="false" outlineLevel="0" collapsed="false">
      <c r="C47" s="40" t="s">
        <v>784</v>
      </c>
      <c r="F47" s="41" t="n">
        <f aca="false">F45*F46</f>
        <v>193539.877207662</v>
      </c>
      <c r="K47" s="40" t="s">
        <v>785</v>
      </c>
      <c r="N47" s="109" t="n">
        <v>987.45</v>
      </c>
    </row>
    <row r="48" customFormat="false" ht="15" hidden="false" customHeight="false" outlineLevel="0" collapsed="false">
      <c r="C48" s="40" t="s">
        <v>786</v>
      </c>
      <c r="F48" s="119" t="n">
        <f aca="false">(Q$8-$N$49)/365</f>
        <v>2.50684931506849</v>
      </c>
      <c r="K48" s="40" t="s">
        <v>787</v>
      </c>
      <c r="N48" s="120" t="n">
        <v>46296</v>
      </c>
    </row>
    <row r="49" customFormat="false" ht="15" hidden="false" customHeight="false" outlineLevel="0" collapsed="false">
      <c r="C49" s="40" t="s">
        <v>758</v>
      </c>
      <c r="F49" s="121" t="n">
        <f aca="false">1/(1+$N$53)^F48</f>
        <v>0.789524982059915</v>
      </c>
      <c r="K49" s="40" t="s">
        <v>788</v>
      </c>
      <c r="N49" s="120" t="n">
        <v>46203</v>
      </c>
    </row>
    <row r="50" customFormat="false" ht="15" hidden="false" customHeight="false" outlineLevel="0" collapsed="false">
      <c r="C50" s="40" t="s">
        <v>789</v>
      </c>
      <c r="F50" s="41" t="n">
        <f aca="false">F47*F49</f>
        <v>152804.568080258</v>
      </c>
      <c r="K50" s="40" t="s">
        <v>790</v>
      </c>
      <c r="N50" s="78" t="n">
        <f aca="false">'GEV Quarterly'!K372</f>
        <v>266.333581</v>
      </c>
    </row>
    <row r="51" customFormat="false" ht="15" hidden="false" customHeight="false" outlineLevel="0" collapsed="false">
      <c r="C51" s="40" t="s">
        <v>791</v>
      </c>
      <c r="F51" s="41" t="n">
        <f aca="false">SUM(H29:Q29)</f>
        <v>14351.4440730187</v>
      </c>
      <c r="K51" s="40" t="s">
        <v>792</v>
      </c>
      <c r="N51" s="78" t="n">
        <f aca="false">'GEV Quarterly'!K30-'GEV Quarterly'!K29</f>
        <v>2</v>
      </c>
    </row>
    <row r="52" customFormat="false" ht="15" hidden="false" customHeight="false" outlineLevel="0" collapsed="false">
      <c r="C52" s="42" t="s">
        <v>793</v>
      </c>
      <c r="D52" s="112"/>
      <c r="E52" s="112"/>
      <c r="F52" s="43" t="n">
        <f aca="false">F50+F51</f>
        <v>167156.012153277</v>
      </c>
      <c r="K52" s="40" t="s">
        <v>794</v>
      </c>
      <c r="N52" s="78" t="n">
        <f aca="false">N50+N51</f>
        <v>268.333581</v>
      </c>
    </row>
    <row r="53" customFormat="false" ht="15" hidden="false" customHeight="false" outlineLevel="0" collapsed="false">
      <c r="C53" s="46" t="s">
        <v>795</v>
      </c>
      <c r="F53" s="65" t="n">
        <f aca="false">F50/F52</f>
        <v>0.91414341675094</v>
      </c>
      <c r="K53" s="40" t="s">
        <v>796</v>
      </c>
      <c r="N53" s="47" t="n">
        <f aca="false">'WACC Calculation'!E52</f>
        <v>0.0988577638305776</v>
      </c>
    </row>
    <row r="54" customFormat="false" ht="15" hidden="false" customHeight="false" outlineLevel="0" collapsed="false">
      <c r="C54" s="40" t="s">
        <v>797</v>
      </c>
      <c r="E54" s="58" t="s">
        <v>798</v>
      </c>
      <c r="F54" s="41" t="n">
        <f aca="false">'GEV Quarterly'!K333</f>
        <v>13120</v>
      </c>
      <c r="K54" s="40" t="s">
        <v>799</v>
      </c>
      <c r="N54" s="47" t="n">
        <f aca="false">'WACC Calculation'!E33</f>
        <v>0.0997287275015211</v>
      </c>
    </row>
    <row r="55" customFormat="false" ht="15" hidden="false" customHeight="false" outlineLevel="0" collapsed="false">
      <c r="C55" s="40" t="s">
        <v>265</v>
      </c>
      <c r="F55" s="41" t="n">
        <f aca="false">-'GEV Quarterly'!K353</f>
        <v>-2794</v>
      </c>
      <c r="K55" s="40" t="s">
        <v>800</v>
      </c>
      <c r="N55" s="52" t="n">
        <f aca="false">'Key Drivers'!$J$114</f>
        <v>20</v>
      </c>
    </row>
    <row r="56" customFormat="false" ht="15" hidden="false" customHeight="false" outlineLevel="0" collapsed="false">
      <c r="C56" s="40" t="s">
        <v>277</v>
      </c>
      <c r="F56" s="41" t="n">
        <f aca="false">-'GEV Quarterly'!K365</f>
        <v>-1158</v>
      </c>
      <c r="K56" s="40" t="s">
        <v>801</v>
      </c>
      <c r="N56" s="41" t="n">
        <f aca="false">N47*N50</f>
        <v>262991.09455845</v>
      </c>
    </row>
    <row r="57" customFormat="false" ht="15" hidden="false" customHeight="false" outlineLevel="0" collapsed="false">
      <c r="C57" s="40" t="s">
        <v>802</v>
      </c>
      <c r="F57" s="41" t="n">
        <f aca="false">-'GEV Quarterly'!K355</f>
        <v>-2654</v>
      </c>
      <c r="K57" s="40" t="s">
        <v>803</v>
      </c>
      <c r="N57" s="41" t="n">
        <f aca="false">N56-SUM(F54:F58)</f>
        <v>255093.09455845</v>
      </c>
    </row>
    <row r="58" customFormat="false" ht="15" hidden="false" customHeight="false" outlineLevel="0" collapsed="false">
      <c r="C58" s="40" t="s">
        <v>804</v>
      </c>
      <c r="F58" s="41" t="n">
        <f aca="false">'GEV Quarterly'!K344</f>
        <v>1384</v>
      </c>
    </row>
    <row r="59" customFormat="false" ht="15" hidden="false" customHeight="false" outlineLevel="0" collapsed="false">
      <c r="C59" s="42" t="s">
        <v>805</v>
      </c>
      <c r="D59" s="112"/>
      <c r="E59" s="112"/>
      <c r="F59" s="43" t="n">
        <f aca="false">F52+SUM(F54:F58)</f>
        <v>175054.012153277</v>
      </c>
    </row>
    <row r="60" customFormat="false" ht="15" hidden="false" customHeight="false" outlineLevel="0" collapsed="false">
      <c r="C60" s="40" t="s">
        <v>794</v>
      </c>
      <c r="F60" s="78" t="n">
        <f aca="false">$N$52</f>
        <v>268.333581</v>
      </c>
    </row>
    <row r="62" customFormat="false" ht="15" hidden="false" customHeight="false" outlineLevel="0" collapsed="false">
      <c r="C62" s="61" t="s">
        <v>806</v>
      </c>
      <c r="D62" s="122"/>
      <c r="E62" s="122"/>
      <c r="F62" s="123" t="s">
        <v>807</v>
      </c>
      <c r="G62" s="123" t="s">
        <v>808</v>
      </c>
      <c r="H62" s="123" t="s">
        <v>809</v>
      </c>
    </row>
    <row r="63" customFormat="false" ht="15" hidden="false" customHeight="false" outlineLevel="0" collapsed="false">
      <c r="C63" s="40" t="s">
        <v>810</v>
      </c>
      <c r="F63" s="124" t="n">
        <f aca="false">$N$48</f>
        <v>46296</v>
      </c>
      <c r="G63" s="124" t="n">
        <f aca="false">EDATE($N$48,3)</f>
        <v>46388</v>
      </c>
      <c r="H63" s="124" t="n">
        <f aca="false">EDATE($N$48,6)</f>
        <v>46478</v>
      </c>
    </row>
    <row r="64" customFormat="false" ht="15" hidden="false" customHeight="false" outlineLevel="0" collapsed="false">
      <c r="C64" s="46" t="s">
        <v>811</v>
      </c>
      <c r="F64" s="125" t="n">
        <f aca="false">(1+$N$54)^((F63-$N$49)/365)</f>
        <v>1.0245173960519</v>
      </c>
      <c r="G64" s="125" t="n">
        <f aca="false">(1+$N$54)^((G63-$N$49)/365)</f>
        <v>1.04936255478858</v>
      </c>
      <c r="H64" s="125" t="n">
        <f aca="false">(1+$N$54)^((H63-$N$49)/365)</f>
        <v>1.07425050480109</v>
      </c>
    </row>
    <row r="65" customFormat="false" ht="15" hidden="false" customHeight="false" outlineLevel="0" collapsed="false">
      <c r="C65" s="42" t="s">
        <v>812</v>
      </c>
      <c r="D65" s="112"/>
      <c r="E65" s="112"/>
      <c r="F65" s="126" t="n">
        <f aca="false">$F$59*F64/$F$60</f>
        <v>668.369124845814</v>
      </c>
      <c r="G65" s="126" t="n">
        <f aca="false">$F$59*G64/$F$60</f>
        <v>684.577475299871</v>
      </c>
      <c r="H65" s="126" t="n">
        <f aca="false">$F$59*H64/$F$60</f>
        <v>700.813741695315</v>
      </c>
    </row>
    <row r="66" customFormat="false" ht="15" hidden="false" customHeight="false" outlineLevel="0" collapsed="false">
      <c r="C66" s="40" t="s">
        <v>813</v>
      </c>
      <c r="F66" s="121" t="n">
        <f aca="false">$N$47</f>
        <v>987.45</v>
      </c>
      <c r="G66" s="121" t="n">
        <f aca="false">$N$47</f>
        <v>987.45</v>
      </c>
      <c r="H66" s="121" t="n">
        <f aca="false">$N$47</f>
        <v>987.45</v>
      </c>
    </row>
    <row r="67" customFormat="false" ht="15" hidden="false" customHeight="false" outlineLevel="0" collapsed="false">
      <c r="C67" s="48" t="s">
        <v>814</v>
      </c>
      <c r="F67" s="92" t="n">
        <f aca="false">F65/F66-1</f>
        <v>-0.323136234902209</v>
      </c>
      <c r="G67" s="92" t="n">
        <f aca="false">G65/G66-1</f>
        <v>-0.306721884348705</v>
      </c>
      <c r="H67" s="92" t="n">
        <f aca="false">H65/H66-1</f>
        <v>-0.290279263056038</v>
      </c>
    </row>
    <row r="69" customFormat="false" ht="15" hidden="false" customHeight="false" outlineLevel="0" collapsed="false">
      <c r="C69" s="46" t="s">
        <v>815</v>
      </c>
      <c r="F69" s="65" t="n">
        <f aca="false">(F47*$N$53-U24)/(F47+U24)</f>
        <v>0.0584578677037224</v>
      </c>
    </row>
    <row r="70" customFormat="false" ht="15" hidden="false" customHeight="false" outlineLevel="0" collapsed="false">
      <c r="C70" s="46" t="s">
        <v>816</v>
      </c>
      <c r="F70" s="84" t="n">
        <f aca="false">F52/S13</f>
        <v>27.9319872309567</v>
      </c>
    </row>
    <row r="71" customFormat="false" ht="15" hidden="false" customHeight="false" outlineLevel="0" collapsed="false">
      <c r="C71" s="46" t="s">
        <v>817</v>
      </c>
      <c r="F71" s="84" t="n">
        <f aca="false">$N$57/S13</f>
        <v>42.6263881754862</v>
      </c>
    </row>
    <row r="72" customFormat="false" ht="15" hidden="false" customHeight="false" outlineLevel="0" collapsed="false">
      <c r="C72" s="46" t="s">
        <v>818</v>
      </c>
      <c r="F72" s="84" t="n">
        <f aca="false">F52/U13</f>
        <v>18.8325275535644</v>
      </c>
    </row>
    <row r="73" customFormat="false" ht="15" hidden="false" customHeight="false" outlineLevel="0" collapsed="false">
      <c r="C73" s="46" t="s">
        <v>819</v>
      </c>
      <c r="F73" s="84" t="n">
        <f aca="false">$N$57/U13</f>
        <v>28.7399039383093</v>
      </c>
    </row>
    <row r="75" customFormat="false" ht="15" hidden="false" customHeight="false" outlineLevel="0" collapsed="false">
      <c r="C75" s="48" t="s">
        <v>820</v>
      </c>
    </row>
    <row r="76" customFormat="false" ht="15" hidden="false" customHeight="false" outlineLevel="0" collapsed="false">
      <c r="E76" s="127" t="s">
        <v>821</v>
      </c>
      <c r="F76" s="128" t="n">
        <f aca="false">$N$55+-4</f>
        <v>16</v>
      </c>
      <c r="G76" s="128" t="n">
        <f aca="false">$N$55+-2</f>
        <v>18</v>
      </c>
      <c r="H76" s="128" t="n">
        <f aca="false">$N$55+0</f>
        <v>20</v>
      </c>
      <c r="I76" s="128" t="n">
        <f aca="false">$N$55+2</f>
        <v>22</v>
      </c>
      <c r="J76" s="128" t="n">
        <f aca="false">$N$55+4</f>
        <v>24</v>
      </c>
    </row>
    <row r="77" customFormat="false" ht="15" hidden="false" customHeight="false" outlineLevel="0" collapsed="false">
      <c r="E77" s="129" t="n">
        <f aca="false">$N$53+-0.02</f>
        <v>0.0788577638305776</v>
      </c>
      <c r="F77" s="121" t="n">
        <f aca="false">((SUMPRODUCT($H$24:$Q$24,(1+$E77)^(-$H$27:$Q$27))+F$76*$F$46*(1+$E77)^(-$F$48))+SUM($F$54:$F$58))*$H$64/$F$60</f>
        <v>602.968308848077</v>
      </c>
      <c r="G77" s="121" t="n">
        <f aca="false">((SUMPRODUCT($H$24:$Q$24,(1+$E77)^(-$H$27:$Q$27))+G$76*$F$46*(1+$E77)^(-$F$48))+SUM($F$54:$F$58))*$H$64/$F$60</f>
        <v>667.025035315516</v>
      </c>
      <c r="H77" s="121" t="n">
        <f aca="false">((SUMPRODUCT($H$24:$Q$24,(1+$E77)^(-$H$27:$Q$27))+H$76*$F$46*(1+$E77)^(-$F$48))+SUM($F$54:$F$58))*$H$64/$F$60</f>
        <v>731.081761782955</v>
      </c>
      <c r="I77" s="121" t="n">
        <f aca="false">((SUMPRODUCT($H$24:$Q$24,(1+$E77)^(-$H$27:$Q$27))+I$76*$F$46*(1+$E77)^(-$F$48))+SUM($F$54:$F$58))*$H$64/$F$60</f>
        <v>795.138488250394</v>
      </c>
      <c r="J77" s="121" t="n">
        <f aca="false">((SUMPRODUCT($H$24:$Q$24,(1+$E77)^(-$H$27:$Q$27))+J$76*$F$46*(1+$E77)^(-$F$48))+SUM($F$54:$F$58))*$H$64/$F$60</f>
        <v>859.195214717833</v>
      </c>
    </row>
    <row r="78" customFormat="false" ht="15" hidden="false" customHeight="false" outlineLevel="0" collapsed="false">
      <c r="E78" s="129" t="n">
        <f aca="false">$N$53+-0.01</f>
        <v>0.0888577638305776</v>
      </c>
      <c r="F78" s="121" t="n">
        <f aca="false">((SUMPRODUCT($H$24:$Q$24,(1+$E78)^(-$H$27:$Q$27))+F$76*$F$46*(1+$E78)^(-$F$48))+SUM($F$54:$F$58))*$H$64/$F$60</f>
        <v>590.522356810174</v>
      </c>
      <c r="G78" s="121" t="n">
        <f aca="false">((SUMPRODUCT($H$24:$Q$24,(1+$E78)^(-$H$27:$Q$27))+G$76*$F$46*(1+$E78)^(-$F$48))+SUM($F$54:$F$58))*$H$64/$F$60</f>
        <v>653.114510305631</v>
      </c>
      <c r="H78" s="121" t="n">
        <f aca="false">((SUMPRODUCT($H$24:$Q$24,(1+$E78)^(-$H$27:$Q$27))+H$76*$F$46*(1+$E78)^(-$F$48))+SUM($F$54:$F$58))*$H$64/$F$60</f>
        <v>715.706663801088</v>
      </c>
      <c r="I78" s="121" t="n">
        <f aca="false">((SUMPRODUCT($H$24:$Q$24,(1+$E78)^(-$H$27:$Q$27))+I$76*$F$46*(1+$E78)^(-$F$48))+SUM($F$54:$F$58))*$H$64/$F$60</f>
        <v>778.298817296545</v>
      </c>
      <c r="J78" s="121" t="n">
        <f aca="false">((SUMPRODUCT($H$24:$Q$24,(1+$E78)^(-$H$27:$Q$27))+J$76*$F$46*(1+$E78)^(-$F$48))+SUM($F$54:$F$58))*$H$64/$F$60</f>
        <v>840.890970792002</v>
      </c>
    </row>
    <row r="79" customFormat="false" ht="15" hidden="false" customHeight="false" outlineLevel="0" collapsed="false">
      <c r="E79" s="129" t="n">
        <f aca="false">$N$53+0</f>
        <v>0.0988577638305776</v>
      </c>
      <c r="F79" s="121" t="n">
        <f aca="false">((SUMPRODUCT($H$24:$Q$24,(1+$E79)^(-$H$27:$Q$27))+F$76*$F$46*(1+$E79)^(-$F$48))+SUM($F$54:$F$58))*$H$64/$F$60</f>
        <v>578.465742026851</v>
      </c>
      <c r="G79" s="121" t="n">
        <f aca="false">((SUMPRODUCT($H$24:$Q$24,(1+$E79)^(-$H$27:$Q$27))+G$76*$F$46*(1+$E79)^(-$F$48))+SUM($F$54:$F$58))*$H$64/$F$60</f>
        <v>639.639741861083</v>
      </c>
      <c r="H79" s="130" t="n">
        <f aca="false">((SUMPRODUCT($H$24:$Q$24,(1+$E79)^(-$H$27:$Q$27))+H$76*$F$46*(1+$E79)^(-$F$48))+SUM($F$54:$F$58))*$H$64/$F$60</f>
        <v>700.813741695315</v>
      </c>
      <c r="I79" s="121" t="n">
        <f aca="false">((SUMPRODUCT($H$24:$Q$24,(1+$E79)^(-$H$27:$Q$27))+I$76*$F$46*(1+$E79)^(-$F$48))+SUM($F$54:$F$58))*$H$64/$F$60</f>
        <v>761.987741529547</v>
      </c>
      <c r="J79" s="121" t="n">
        <f aca="false">((SUMPRODUCT($H$24:$Q$24,(1+$E79)^(-$H$27:$Q$27))+J$76*$F$46*(1+$E79)^(-$F$48))+SUM($F$54:$F$58))*$H$64/$F$60</f>
        <v>823.161741363779</v>
      </c>
    </row>
    <row r="80" customFormat="false" ht="15" hidden="false" customHeight="false" outlineLevel="0" collapsed="false">
      <c r="E80" s="129" t="n">
        <f aca="false">$N$53+0.01</f>
        <v>0.108857763830578</v>
      </c>
      <c r="F80" s="121" t="n">
        <f aca="false">((SUMPRODUCT($H$24:$Q$24,(1+$E80)^(-$H$27:$Q$27))+F$76*$F$46*(1+$E80)^(-$F$48))+SUM($F$54:$F$58))*$H$64/$F$60</f>
        <v>566.782854784674</v>
      </c>
      <c r="G80" s="121" t="n">
        <f aca="false">((SUMPRODUCT($H$24:$Q$24,(1+$E80)^(-$H$27:$Q$27))+G$76*$F$46*(1+$E80)^(-$F$48))+SUM($F$54:$F$58))*$H$64/$F$60</f>
        <v>626.583246437469</v>
      </c>
      <c r="H80" s="121" t="n">
        <f aca="false">((SUMPRODUCT($H$24:$Q$24,(1+$E80)^(-$H$27:$Q$27))+H$76*$F$46*(1+$E80)^(-$F$48))+SUM($F$54:$F$58))*$H$64/$F$60</f>
        <v>686.383638090263</v>
      </c>
      <c r="I80" s="121" t="n">
        <f aca="false">((SUMPRODUCT($H$24:$Q$24,(1+$E80)^(-$H$27:$Q$27))+I$76*$F$46*(1+$E80)^(-$F$48))+SUM($F$54:$F$58))*$H$64/$F$60</f>
        <v>746.184029743057</v>
      </c>
      <c r="J80" s="121" t="n">
        <f aca="false">((SUMPRODUCT($H$24:$Q$24,(1+$E80)^(-$H$27:$Q$27))+J$76*$F$46*(1+$E80)^(-$F$48))+SUM($F$54:$F$58))*$H$64/$F$60</f>
        <v>805.984421395851</v>
      </c>
    </row>
    <row r="81" customFormat="false" ht="15" hidden="false" customHeight="false" outlineLevel="0" collapsed="false">
      <c r="E81" s="129" t="n">
        <f aca="false">$N$53+0.02</f>
        <v>0.118857763830578</v>
      </c>
      <c r="F81" s="121" t="n">
        <f aca="false">((SUMPRODUCT($H$24:$Q$24,(1+$E81)^(-$H$27:$Q$27))+F$76*$F$46*(1+$E81)^(-$F$48))+SUM($F$54:$F$58))*$H$64/$F$60</f>
        <v>555.458845200741</v>
      </c>
      <c r="G81" s="121" t="n">
        <f aca="false">((SUMPRODUCT($H$24:$Q$24,(1+$E81)^(-$H$27:$Q$27))+G$76*$F$46*(1+$E81)^(-$F$48))+SUM($F$54:$F$58))*$H$64/$F$60</f>
        <v>613.928391925111</v>
      </c>
      <c r="H81" s="121" t="n">
        <f aca="false">((SUMPRODUCT($H$24:$Q$24,(1+$E81)^(-$H$27:$Q$27))+H$76*$F$46*(1+$E81)^(-$F$48))+SUM($F$54:$F$58))*$H$64/$F$60</f>
        <v>672.397938649482</v>
      </c>
      <c r="I81" s="121" t="n">
        <f aca="false">((SUMPRODUCT($H$24:$Q$24,(1+$E81)^(-$H$27:$Q$27))+I$76*$F$46*(1+$E81)^(-$F$48))+SUM($F$54:$F$58))*$H$64/$F$60</f>
        <v>730.867485373852</v>
      </c>
      <c r="J81" s="121" t="n">
        <f aca="false">((SUMPRODUCT($H$24:$Q$24,(1+$E81)^(-$H$27:$Q$27))+J$76*$F$46*(1+$E81)^(-$F$48))+SUM($F$54:$F$58))*$H$64/$F$60</f>
        <v>789.337032098223</v>
      </c>
    </row>
    <row r="83" customFormat="false" ht="15" hidden="false" customHeight="false" outlineLevel="0" collapsed="false">
      <c r="C83" s="61" t="s">
        <v>395</v>
      </c>
      <c r="D83" s="61"/>
      <c r="E83" s="61"/>
      <c r="F83" s="61"/>
      <c r="G83" s="61"/>
      <c r="H83" s="61"/>
      <c r="I83" s="61"/>
      <c r="J83" s="61"/>
      <c r="K83" s="61"/>
      <c r="L83" s="61"/>
      <c r="M83" s="61"/>
      <c r="N83" s="61"/>
      <c r="O83" s="61"/>
      <c r="P83" s="61"/>
      <c r="Q83" s="61"/>
      <c r="R83" s="61"/>
      <c r="S83" s="61"/>
      <c r="T83" s="61"/>
      <c r="U83" s="61"/>
      <c r="V83" s="61"/>
    </row>
    <row r="84" customFormat="false" ht="15" hidden="false" customHeight="false" outlineLevel="0" collapsed="false">
      <c r="C84" s="40" t="s">
        <v>822</v>
      </c>
      <c r="F84" s="107" t="n">
        <v>0.12</v>
      </c>
      <c r="G84" s="107" t="n">
        <v>0.14</v>
      </c>
    </row>
    <row r="85" customFormat="false" ht="15" hidden="false" customHeight="false" outlineLevel="0" collapsed="false">
      <c r="C85" s="48" t="s">
        <v>823</v>
      </c>
      <c r="F85" s="48" t="str">
        <f aca="false">IF(AND(S14&gt;=F84,S14&lt;=G84),"In range ("&amp;TEXT(S14,"0.0%")&amp;")","Outside ("&amp;TEXT(S14,"0.0%")&amp;")")</f>
        <v>In range (13.0%)</v>
      </c>
    </row>
    <row r="86" customFormat="false" ht="15" hidden="false" customHeight="false" outlineLevel="0" collapsed="false">
      <c r="C86" s="40" t="s">
        <v>824</v>
      </c>
      <c r="F86" s="91" t="n">
        <v>11500</v>
      </c>
      <c r="G86" s="91" t="n">
        <v>12500</v>
      </c>
    </row>
    <row r="87" customFormat="false" ht="15" hidden="false" customHeight="false" outlineLevel="0" collapsed="false">
      <c r="C87" s="40" t="s">
        <v>825</v>
      </c>
      <c r="F87" s="41" t="n">
        <f aca="false">SUM('GEV Quarterly'!J325:K325)+H24+I24</f>
        <v>12159.7491037849</v>
      </c>
    </row>
    <row r="88" customFormat="false" ht="15" hidden="false" customHeight="false" outlineLevel="0" collapsed="false">
      <c r="C88" s="48" t="s">
        <v>826</v>
      </c>
      <c r="F88" s="48" t="str">
        <f aca="false">IF(AND(F87&gt;=F86-500,F87&lt;=G86+500),"In line ("&amp;TEXT(F87,"#,##0")&amp;")","Check ("&amp;TEXT(F87,"#,##0")&amp;")")</f>
        <v>In line (12,160)</v>
      </c>
    </row>
    <row r="89" customFormat="false" ht="15" hidden="false" customHeight="false" outlineLevel="0" collapsed="false">
      <c r="C89" s="40" t="s">
        <v>827</v>
      </c>
      <c r="F89" s="121" t="n">
        <f aca="false">INDEX('Key Drivers'!J162:J164,MATCH('Key Drivers'!$D$5,'Key Drivers'!$C162:$C164,0))</f>
        <v>700</v>
      </c>
    </row>
    <row r="90" customFormat="false" ht="15" hidden="false" customHeight="false" outlineLevel="0" collapsed="false">
      <c r="C90" s="46" t="s">
        <v>828</v>
      </c>
      <c r="F90" s="65" t="n">
        <f aca="false">H65/F89-1</f>
        <v>0.00116248813616471</v>
      </c>
    </row>
  </sheetData>
  <mergeCells count="3">
    <mergeCell ref="F6:G6"/>
    <mergeCell ref="H6:Q6"/>
    <mergeCell ref="S6:V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V9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40"/>
    <col collapsed="false" customWidth="true" hidden="false" outlineLevel="0" max="4" min="4" style="0" width="1.51"/>
    <col collapsed="false" customWidth="true" hidden="false" outlineLevel="0" max="5" min="5" style="0" width="27"/>
    <col collapsed="false" customWidth="true" hidden="false" outlineLevel="0" max="17" min="6" style="0" width="10.51"/>
    <col collapsed="false" customWidth="true" hidden="false" outlineLevel="0" max="18" min="18" style="0" width="1.51"/>
    <col collapsed="false" customWidth="true" hidden="false" outlineLevel="0" max="22" min="19" style="0" width="11"/>
    <col collapsed="false" customWidth="true" hidden="false" outlineLevel="0" max="23" min="23" style="0" width="2.5"/>
  </cols>
  <sheetData>
    <row r="2" customFormat="false" ht="17.35" hidden="false" customHeight="false" outlineLevel="0" collapsed="false">
      <c r="C2" s="55" t="s">
        <v>409</v>
      </c>
    </row>
    <row r="3" customFormat="false" ht="15" hidden="false" customHeight="false" outlineLevel="0" collapsed="false">
      <c r="C3" s="56" t="s">
        <v>829</v>
      </c>
    </row>
    <row r="4" customFormat="false" ht="15" hidden="false" customHeight="false" outlineLevel="0" collapsed="false">
      <c r="C4" s="56" t="s">
        <v>721</v>
      </c>
    </row>
    <row r="6" customFormat="false" ht="15" hidden="false" customHeight="false" outlineLevel="0" collapsed="false">
      <c r="F6" s="59" t="s">
        <v>722</v>
      </c>
      <c r="G6" s="59"/>
      <c r="H6" s="59" t="s">
        <v>723</v>
      </c>
      <c r="I6" s="59"/>
      <c r="J6" s="59"/>
      <c r="K6" s="59"/>
      <c r="L6" s="59"/>
      <c r="M6" s="59"/>
      <c r="N6" s="59"/>
      <c r="O6" s="59"/>
      <c r="P6" s="59"/>
      <c r="Q6" s="59"/>
      <c r="S6" s="59" t="s">
        <v>2</v>
      </c>
      <c r="T6" s="59"/>
      <c r="U6" s="59"/>
      <c r="V6" s="59"/>
    </row>
    <row r="7" customFormat="false" ht="15" hidden="false" customHeight="false" outlineLevel="0" collapsed="false">
      <c r="C7" s="34" t="s">
        <v>418</v>
      </c>
      <c r="D7" s="34"/>
      <c r="E7" s="34" t="s">
        <v>420</v>
      </c>
      <c r="F7" s="35" t="s">
        <v>724</v>
      </c>
      <c r="G7" s="35" t="s">
        <v>725</v>
      </c>
      <c r="H7" s="35" t="s">
        <v>726</v>
      </c>
      <c r="I7" s="35" t="s">
        <v>727</v>
      </c>
      <c r="J7" s="35" t="s">
        <v>728</v>
      </c>
      <c r="K7" s="35" t="s">
        <v>729</v>
      </c>
      <c r="L7" s="35" t="s">
        <v>730</v>
      </c>
      <c r="M7" s="35" t="s">
        <v>731</v>
      </c>
      <c r="N7" s="35" t="s">
        <v>732</v>
      </c>
      <c r="O7" s="35" t="s">
        <v>733</v>
      </c>
      <c r="P7" s="35" t="s">
        <v>734</v>
      </c>
      <c r="Q7" s="35" t="s">
        <v>735</v>
      </c>
      <c r="R7" s="35"/>
      <c r="S7" s="35" t="s">
        <v>423</v>
      </c>
      <c r="T7" s="35" t="s">
        <v>424</v>
      </c>
      <c r="U7" s="35" t="s">
        <v>425</v>
      </c>
      <c r="V7" s="35" t="s">
        <v>426</v>
      </c>
    </row>
    <row r="8" customFormat="false" ht="15" hidden="false" customHeight="false" outlineLevel="0" collapsed="false">
      <c r="C8" s="34" t="s">
        <v>17</v>
      </c>
      <c r="D8" s="34"/>
      <c r="E8" s="34"/>
      <c r="F8" s="60" t="n">
        <v>46112</v>
      </c>
      <c r="G8" s="60" t="n">
        <v>46203</v>
      </c>
      <c r="H8" s="60" t="n">
        <v>46295</v>
      </c>
      <c r="I8" s="60" t="n">
        <v>46387</v>
      </c>
      <c r="J8" s="60" t="n">
        <v>46477</v>
      </c>
      <c r="K8" s="60" t="n">
        <v>46568</v>
      </c>
      <c r="L8" s="60" t="n">
        <v>46660</v>
      </c>
      <c r="M8" s="60" t="n">
        <v>46752</v>
      </c>
      <c r="N8" s="60" t="n">
        <v>46843</v>
      </c>
      <c r="O8" s="60" t="n">
        <v>46934</v>
      </c>
      <c r="P8" s="60" t="n">
        <v>47026</v>
      </c>
      <c r="Q8" s="60" t="n">
        <v>47118</v>
      </c>
      <c r="R8" s="35"/>
      <c r="S8" s="60" t="n">
        <v>46387</v>
      </c>
      <c r="T8" s="60" t="n">
        <v>46752</v>
      </c>
      <c r="U8" s="60" t="n">
        <v>47118</v>
      </c>
      <c r="V8" s="60" t="n">
        <v>47483</v>
      </c>
    </row>
    <row r="10" customFormat="false" ht="15" hidden="false" customHeight="false" outlineLevel="0" collapsed="false">
      <c r="C10" s="61" t="s">
        <v>830</v>
      </c>
      <c r="D10" s="61"/>
      <c r="E10" s="61"/>
      <c r="F10" s="61"/>
      <c r="G10" s="61"/>
      <c r="H10" s="61"/>
      <c r="I10" s="61"/>
      <c r="J10" s="61"/>
      <c r="K10" s="61"/>
      <c r="L10" s="61"/>
      <c r="M10" s="61"/>
      <c r="N10" s="61"/>
      <c r="O10" s="61"/>
      <c r="P10" s="61"/>
      <c r="Q10" s="61"/>
      <c r="R10" s="61"/>
      <c r="S10" s="61"/>
      <c r="T10" s="61"/>
      <c r="U10" s="61"/>
      <c r="V10" s="61"/>
    </row>
    <row r="11" customFormat="false" ht="15" hidden="false" customHeight="false" outlineLevel="0" collapsed="false">
      <c r="C11" s="42" t="s">
        <v>737</v>
      </c>
      <c r="D11" s="112"/>
      <c r="E11" s="63" t="s">
        <v>831</v>
      </c>
      <c r="F11" s="43" t="n">
        <f aca="false">'Consensus DCF'!F11</f>
        <v>9337</v>
      </c>
      <c r="G11" s="43" t="n">
        <f aca="false">'Consensus DCF'!G11</f>
        <v>11103</v>
      </c>
      <c r="H11" s="64" t="n">
        <f aca="false">'Consensus DCF'!H11</f>
        <v>12318.6825806452</v>
      </c>
      <c r="I11" s="64" t="n">
        <f aca="false">'Consensus DCF'!I11</f>
        <v>13538.3174193548</v>
      </c>
      <c r="J11" s="64" t="n">
        <f aca="false">'Consensus DCF'!J11</f>
        <v>11133.9061178387</v>
      </c>
      <c r="K11" s="64" t="n">
        <f aca="false">'Consensus DCF'!K11</f>
        <v>12630.9950878668</v>
      </c>
      <c r="L11" s="64" t="n">
        <f aca="false">'Consensus DCF'!L11</f>
        <v>13818.9629094539</v>
      </c>
      <c r="M11" s="64" t="n">
        <f aca="false">'Consensus DCF'!M11</f>
        <v>15187.1358848407</v>
      </c>
      <c r="N11" s="64" t="n">
        <f aca="false">'Consensus DCF'!N11</f>
        <v>12784.2332606583</v>
      </c>
      <c r="O11" s="64" t="n">
        <f aca="false">'Consensus DCF'!O11</f>
        <v>14503.2287688145</v>
      </c>
      <c r="P11" s="64" t="n">
        <f aca="false">'Consensus DCF'!P11</f>
        <v>15867.2835377867</v>
      </c>
      <c r="Q11" s="64" t="n">
        <f aca="false">'Consensus DCF'!Q11</f>
        <v>17438.2544327406</v>
      </c>
      <c r="S11" s="64" t="n">
        <f aca="false">'Consensus DCF'!S11</f>
        <v>46297</v>
      </c>
      <c r="T11" s="64" t="n">
        <f aca="false">'Consensus DCF'!T11</f>
        <v>52771</v>
      </c>
      <c r="U11" s="64" t="n">
        <f aca="false">'Consensus DCF'!U11</f>
        <v>60593</v>
      </c>
      <c r="V11" s="64" t="n">
        <f aca="false">'Consensus DCF'!V11</f>
        <v>67864.16</v>
      </c>
    </row>
    <row r="12" customFormat="false" ht="15" hidden="false" customHeight="false" outlineLevel="0" collapsed="false">
      <c r="C12" s="40" t="s">
        <v>832</v>
      </c>
      <c r="E12" s="58" t="s">
        <v>833</v>
      </c>
      <c r="F12" s="41" t="n">
        <f aca="false">'Consensus DCF'!F14</f>
        <v>896</v>
      </c>
      <c r="G12" s="41" t="n">
        <f aca="false">'Consensus DCF'!G14</f>
        <v>1250</v>
      </c>
      <c r="H12" s="62" t="n">
        <f aca="false">H11*H13</f>
        <v>1990.94150537634</v>
      </c>
      <c r="I12" s="62" t="n">
        <f aca="false">I11*I13</f>
        <v>2188.05849462366</v>
      </c>
      <c r="J12" s="62" t="n">
        <f aca="false">J11*J13</f>
        <v>1925.35389623498</v>
      </c>
      <c r="K12" s="62" t="n">
        <f aca="false">K11*K13</f>
        <v>2327.06489457751</v>
      </c>
      <c r="L12" s="62" t="n">
        <f aca="false">L11*L13</f>
        <v>2702.1861402245</v>
      </c>
      <c r="M12" s="62" t="n">
        <f aca="false">M11*M13</f>
        <v>3141.44836049403</v>
      </c>
      <c r="N12" s="62" t="n">
        <f aca="false">N11*N13</f>
        <v>2788.96614247271</v>
      </c>
      <c r="O12" s="62" t="n">
        <f aca="false">O11*O13</f>
        <v>3163.97653015579</v>
      </c>
      <c r="P12" s="62" t="n">
        <f aca="false">P11*P13</f>
        <v>3461.55421741913</v>
      </c>
      <c r="Q12" s="62" t="n">
        <f aca="false">Q11*Q13</f>
        <v>3804.27204394061</v>
      </c>
      <c r="S12" s="62" t="n">
        <f aca="false">SUM(F12:I12)</f>
        <v>6325</v>
      </c>
      <c r="T12" s="62" t="n">
        <f aca="false">SUM(J12:M12)</f>
        <v>10096.053291531</v>
      </c>
      <c r="U12" s="62" t="n">
        <f aca="false">SUM(N12:Q12)</f>
        <v>13218.7689339882</v>
      </c>
      <c r="V12" s="62" t="n">
        <f aca="false">V11*V13</f>
        <v>14805.0212060668</v>
      </c>
    </row>
    <row r="13" customFormat="false" ht="15" hidden="false" customHeight="false" outlineLevel="0" collapsed="false">
      <c r="C13" s="46" t="s">
        <v>740</v>
      </c>
      <c r="E13" s="58" t="s">
        <v>834</v>
      </c>
      <c r="F13" s="65" t="n">
        <f aca="false">F12/F11</f>
        <v>0.0959623005247938</v>
      </c>
      <c r="G13" s="65" t="n">
        <f aca="false">G12/G11</f>
        <v>0.112582184995046</v>
      </c>
      <c r="H13" s="66" t="n">
        <f aca="false">$F$30+($F$37-$F$30)*H14</f>
        <v>0.161619677456782</v>
      </c>
      <c r="I13" s="66" t="n">
        <f aca="false">$F$30+($F$37-$F$30)*I14</f>
        <v>0.161619677456782</v>
      </c>
      <c r="J13" s="66" t="n">
        <f aca="false">$F$30+($F$37-$F$30)*J14</f>
        <v>0.172927082001364</v>
      </c>
      <c r="K13" s="66" t="n">
        <f aca="false">$F$30+($F$37-$F$30)*K14</f>
        <v>0.184234486545947</v>
      </c>
      <c r="L13" s="66" t="n">
        <f aca="false">$F$30+($F$37-$F$30)*L14</f>
        <v>0.195541891090529</v>
      </c>
      <c r="M13" s="66" t="n">
        <f aca="false">$F$30+($F$37-$F$30)*M14</f>
        <v>0.206849295635112</v>
      </c>
      <c r="N13" s="66" t="n">
        <f aca="false">$F$30+($F$37-$F$30)*N14</f>
        <v>0.218156700179695</v>
      </c>
      <c r="O13" s="66" t="n">
        <f aca="false">$F$30+($F$37-$F$30)*O14</f>
        <v>0.218156700179695</v>
      </c>
      <c r="P13" s="66" t="n">
        <f aca="false">$F$30+($F$37-$F$30)*P14</f>
        <v>0.218156700179695</v>
      </c>
      <c r="Q13" s="66" t="n">
        <f aca="false">$F$30+($F$37-$F$30)*Q14</f>
        <v>0.218156700179695</v>
      </c>
      <c r="S13" s="66" t="n">
        <f aca="false">S12/S11</f>
        <v>0.136617923407564</v>
      </c>
      <c r="T13" s="66" t="n">
        <f aca="false">T12/T11</f>
        <v>0.191318210599212</v>
      </c>
      <c r="U13" s="66" t="n">
        <f aca="false">U12/U11</f>
        <v>0.218156700179695</v>
      </c>
      <c r="V13" s="66" t="n">
        <f aca="false">U13</f>
        <v>0.218156700179695</v>
      </c>
    </row>
    <row r="14" customFormat="false" ht="15" hidden="false" customHeight="false" outlineLevel="0" collapsed="false">
      <c r="C14" s="46" t="s">
        <v>835</v>
      </c>
      <c r="E14" s="58" t="s">
        <v>836</v>
      </c>
      <c r="F14" s="40"/>
      <c r="G14" s="40"/>
      <c r="H14" s="131" t="n">
        <v>0</v>
      </c>
      <c r="I14" s="131" t="n">
        <v>0</v>
      </c>
      <c r="J14" s="131" t="n">
        <v>0.2</v>
      </c>
      <c r="K14" s="131" t="n">
        <v>0.4</v>
      </c>
      <c r="L14" s="131" t="n">
        <v>0.6</v>
      </c>
      <c r="M14" s="131" t="n">
        <v>0.8</v>
      </c>
      <c r="N14" s="131" t="n">
        <v>1</v>
      </c>
      <c r="O14" s="131" t="n">
        <v>1</v>
      </c>
      <c r="P14" s="131" t="n">
        <v>1</v>
      </c>
      <c r="Q14" s="131" t="n">
        <v>1</v>
      </c>
      <c r="S14" s="68"/>
      <c r="T14" s="68"/>
      <c r="U14" s="68"/>
      <c r="V14" s="68"/>
    </row>
    <row r="15" customFormat="false" ht="15" hidden="false" customHeight="false" outlineLevel="0" collapsed="false">
      <c r="C15" s="40" t="s">
        <v>742</v>
      </c>
      <c r="E15" s="58" t="s">
        <v>831</v>
      </c>
      <c r="F15" s="41" t="n">
        <f aca="false">'Consensus DCF'!F16</f>
        <v>341</v>
      </c>
      <c r="G15" s="41" t="n">
        <f aca="false">'Consensus DCF'!G16</f>
        <v>418</v>
      </c>
      <c r="H15" s="62" t="n">
        <f aca="false">'Consensus DCF'!H16</f>
        <v>438.302508960574</v>
      </c>
      <c r="I15" s="62" t="n">
        <f aca="false">'Consensus DCF'!I16</f>
        <v>481.697491039426</v>
      </c>
      <c r="J15" s="62" t="n">
        <f aca="false">'Consensus DCF'!J16</f>
        <v>298.966192965405</v>
      </c>
      <c r="K15" s="62" t="n">
        <f aca="false">'Consensus DCF'!K16</f>
        <v>339.165830465733</v>
      </c>
      <c r="L15" s="62" t="n">
        <f aca="false">'Consensus DCF'!L16</f>
        <v>371.064987259975</v>
      </c>
      <c r="M15" s="62" t="n">
        <f aca="false">'Consensus DCF'!M16</f>
        <v>407.802989308887</v>
      </c>
      <c r="N15" s="62" t="n">
        <f aca="false">'Consensus DCF'!N16</f>
        <v>343.695079986341</v>
      </c>
      <c r="O15" s="62" t="n">
        <f aca="false">'Consensus DCF'!O16</f>
        <v>389.909059864982</v>
      </c>
      <c r="P15" s="62" t="n">
        <f aca="false">'Consensus DCF'!P16</f>
        <v>426.580708713126</v>
      </c>
      <c r="Q15" s="62" t="n">
        <f aca="false">'Consensus DCF'!Q16</f>
        <v>468.815151435551</v>
      </c>
      <c r="S15" s="62" t="n">
        <f aca="false">SUM(F15:I15)</f>
        <v>1679</v>
      </c>
      <c r="T15" s="62" t="n">
        <f aca="false">SUM(J15:M15)</f>
        <v>1417</v>
      </c>
      <c r="U15" s="62" t="n">
        <f aca="false">SUM(N15:Q15)</f>
        <v>1629</v>
      </c>
      <c r="V15" s="68"/>
    </row>
    <row r="16" customFormat="false" ht="15" hidden="false" customHeight="false" outlineLevel="0" collapsed="false">
      <c r="C16" s="48" t="s">
        <v>837</v>
      </c>
      <c r="F16" s="113" t="n">
        <f aca="false">F12-F15</f>
        <v>555</v>
      </c>
      <c r="G16" s="113" t="n">
        <f aca="false">G12-G15</f>
        <v>832</v>
      </c>
      <c r="H16" s="114" t="n">
        <f aca="false">H12-H15</f>
        <v>1552.63899641577</v>
      </c>
      <c r="I16" s="114" t="n">
        <f aca="false">I12-I15</f>
        <v>1706.36100358423</v>
      </c>
      <c r="J16" s="114" t="n">
        <f aca="false">J12-J15</f>
        <v>1626.38770326957</v>
      </c>
      <c r="K16" s="114" t="n">
        <f aca="false">K12-K15</f>
        <v>1987.89906411178</v>
      </c>
      <c r="L16" s="114" t="n">
        <f aca="false">L12-L15</f>
        <v>2331.12115296452</v>
      </c>
      <c r="M16" s="114" t="n">
        <f aca="false">M12-M15</f>
        <v>2733.64537118514</v>
      </c>
      <c r="N16" s="114" t="n">
        <f aca="false">N12-N15</f>
        <v>2445.27106248637</v>
      </c>
      <c r="O16" s="114" t="n">
        <f aca="false">O12-O15</f>
        <v>2774.06747029081</v>
      </c>
      <c r="P16" s="114" t="n">
        <f aca="false">P12-P15</f>
        <v>3034.973508706</v>
      </c>
      <c r="Q16" s="114" t="n">
        <f aca="false">Q12-Q15</f>
        <v>3335.45689250506</v>
      </c>
      <c r="S16" s="114" t="n">
        <f aca="false">S12-S15</f>
        <v>4646</v>
      </c>
      <c r="T16" s="114" t="n">
        <f aca="false">T12-T15</f>
        <v>8679.05329153101</v>
      </c>
      <c r="U16" s="114" t="n">
        <f aca="false">U12-U15</f>
        <v>11589.7689339882</v>
      </c>
      <c r="V16" s="68"/>
    </row>
    <row r="17" customFormat="false" ht="15" hidden="false" customHeight="false" outlineLevel="0" collapsed="false">
      <c r="C17" s="46" t="s">
        <v>838</v>
      </c>
      <c r="F17" s="65" t="n">
        <f aca="false">'Consensus DCF'!F18</f>
        <v>0.25</v>
      </c>
      <c r="G17" s="65" t="n">
        <f aca="false">'Consensus DCF'!G18</f>
        <v>0.25</v>
      </c>
      <c r="H17" s="66" t="n">
        <f aca="false">'Consensus DCF'!H18</f>
        <v>0.25</v>
      </c>
      <c r="I17" s="66" t="n">
        <f aca="false">'Consensus DCF'!I18</f>
        <v>0.25</v>
      </c>
      <c r="J17" s="66" t="n">
        <f aca="false">'Consensus DCF'!J18</f>
        <v>0.25</v>
      </c>
      <c r="K17" s="66" t="n">
        <f aca="false">'Consensus DCF'!K18</f>
        <v>0.25</v>
      </c>
      <c r="L17" s="66" t="n">
        <f aca="false">'Consensus DCF'!L18</f>
        <v>0.25</v>
      </c>
      <c r="M17" s="66" t="n">
        <f aca="false">'Consensus DCF'!M18</f>
        <v>0.25</v>
      </c>
      <c r="N17" s="66" t="n">
        <f aca="false">'Consensus DCF'!N18</f>
        <v>0.25</v>
      </c>
      <c r="O17" s="66" t="n">
        <f aca="false">'Consensus DCF'!O18</f>
        <v>0.25</v>
      </c>
      <c r="P17" s="66" t="n">
        <f aca="false">'Consensus DCF'!P18</f>
        <v>0.25</v>
      </c>
      <c r="Q17" s="66" t="n">
        <f aca="false">'Consensus DCF'!Q18</f>
        <v>0.25</v>
      </c>
      <c r="S17" s="68"/>
      <c r="T17" s="68"/>
      <c r="U17" s="68"/>
      <c r="V17" s="68"/>
    </row>
    <row r="18" customFormat="false" ht="15" hidden="false" customHeight="false" outlineLevel="0" collapsed="false">
      <c r="C18" s="40" t="s">
        <v>744</v>
      </c>
      <c r="F18" s="41" t="n">
        <f aca="false">F16*F17</f>
        <v>138.75</v>
      </c>
      <c r="G18" s="41" t="n">
        <f aca="false">G16*G17</f>
        <v>208</v>
      </c>
      <c r="H18" s="62" t="n">
        <f aca="false">H16*H17</f>
        <v>388.159749103943</v>
      </c>
      <c r="I18" s="62" t="n">
        <f aca="false">I16*I17</f>
        <v>426.590250896057</v>
      </c>
      <c r="J18" s="62" t="n">
        <f aca="false">J16*J17</f>
        <v>406.596925817393</v>
      </c>
      <c r="K18" s="62" t="n">
        <f aca="false">K16*K17</f>
        <v>496.974766027944</v>
      </c>
      <c r="L18" s="62" t="n">
        <f aca="false">L16*L17</f>
        <v>582.780288241131</v>
      </c>
      <c r="M18" s="62" t="n">
        <f aca="false">M16*M17</f>
        <v>683.411342796286</v>
      </c>
      <c r="N18" s="62" t="n">
        <f aca="false">N16*N17</f>
        <v>611.317765621592</v>
      </c>
      <c r="O18" s="62" t="n">
        <f aca="false">O16*O17</f>
        <v>693.516867572703</v>
      </c>
      <c r="P18" s="62" t="n">
        <f aca="false">P16*P17</f>
        <v>758.743377176501</v>
      </c>
      <c r="Q18" s="62" t="n">
        <f aca="false">Q16*Q17</f>
        <v>833.864223126265</v>
      </c>
      <c r="S18" s="62" t="n">
        <f aca="false">SUM(F18:I18)</f>
        <v>1161.5</v>
      </c>
      <c r="T18" s="62" t="n">
        <f aca="false">SUM(J18:M18)</f>
        <v>2169.76332288275</v>
      </c>
      <c r="U18" s="62" t="n">
        <f aca="false">SUM(N18:Q18)</f>
        <v>2897.44223349706</v>
      </c>
      <c r="V18" s="68"/>
    </row>
    <row r="19" customFormat="false" ht="15" hidden="false" customHeight="false" outlineLevel="0" collapsed="false">
      <c r="C19" s="42" t="s">
        <v>745</v>
      </c>
      <c r="D19" s="112"/>
      <c r="E19" s="112"/>
      <c r="F19" s="43" t="n">
        <f aca="false">F16-F18</f>
        <v>416.25</v>
      </c>
      <c r="G19" s="43" t="n">
        <f aca="false">G16-G18</f>
        <v>624</v>
      </c>
      <c r="H19" s="64" t="n">
        <f aca="false">H16-H18</f>
        <v>1164.47924731183</v>
      </c>
      <c r="I19" s="64" t="n">
        <f aca="false">I16-I18</f>
        <v>1279.77075268817</v>
      </c>
      <c r="J19" s="64" t="n">
        <f aca="false">J16-J18</f>
        <v>1219.79077745218</v>
      </c>
      <c r="K19" s="64" t="n">
        <f aca="false">K16-K18</f>
        <v>1490.92429808383</v>
      </c>
      <c r="L19" s="64" t="n">
        <f aca="false">L16-L18</f>
        <v>1748.34086472339</v>
      </c>
      <c r="M19" s="64" t="n">
        <f aca="false">M16-M18</f>
        <v>2050.23402838886</v>
      </c>
      <c r="N19" s="64" t="n">
        <f aca="false">N16-N18</f>
        <v>1833.95329686478</v>
      </c>
      <c r="O19" s="64" t="n">
        <f aca="false">O16-O18</f>
        <v>2080.55060271811</v>
      </c>
      <c r="P19" s="64" t="n">
        <f aca="false">P16-P18</f>
        <v>2276.2301315295</v>
      </c>
      <c r="Q19" s="64" t="n">
        <f aca="false">Q16-Q18</f>
        <v>2501.5926693788</v>
      </c>
      <c r="S19" s="64" t="n">
        <f aca="false">S16-S18</f>
        <v>3484.5</v>
      </c>
      <c r="T19" s="64" t="n">
        <f aca="false">T16-T18</f>
        <v>6509.28996864826</v>
      </c>
      <c r="U19" s="64" t="n">
        <f aca="false">U16-U18</f>
        <v>8692.32670049118</v>
      </c>
      <c r="V19" s="74"/>
    </row>
    <row r="20" customFormat="false" ht="15" hidden="false" customHeight="false" outlineLevel="0" collapsed="false">
      <c r="C20" s="40" t="s">
        <v>746</v>
      </c>
      <c r="F20" s="41" t="n">
        <f aca="false">F15</f>
        <v>341</v>
      </c>
      <c r="G20" s="41" t="n">
        <f aca="false">G15</f>
        <v>418</v>
      </c>
      <c r="H20" s="62" t="n">
        <f aca="false">H15</f>
        <v>438.302508960574</v>
      </c>
      <c r="I20" s="62" t="n">
        <f aca="false">I15</f>
        <v>481.697491039426</v>
      </c>
      <c r="J20" s="62" t="n">
        <f aca="false">J15</f>
        <v>298.966192965405</v>
      </c>
      <c r="K20" s="62" t="n">
        <f aca="false">K15</f>
        <v>339.165830465733</v>
      </c>
      <c r="L20" s="62" t="n">
        <f aca="false">L15</f>
        <v>371.064987259975</v>
      </c>
      <c r="M20" s="62" t="n">
        <f aca="false">M15</f>
        <v>407.802989308887</v>
      </c>
      <c r="N20" s="62" t="n">
        <f aca="false">N15</f>
        <v>343.695079986341</v>
      </c>
      <c r="O20" s="62" t="n">
        <f aca="false">O15</f>
        <v>389.909059864982</v>
      </c>
      <c r="P20" s="62" t="n">
        <f aca="false">P15</f>
        <v>426.580708713126</v>
      </c>
      <c r="Q20" s="62" t="n">
        <f aca="false">Q15</f>
        <v>468.815151435551</v>
      </c>
      <c r="S20" s="62" t="n">
        <f aca="false">S15</f>
        <v>1679</v>
      </c>
      <c r="T20" s="62" t="n">
        <f aca="false">T15</f>
        <v>1417</v>
      </c>
      <c r="U20" s="62" t="n">
        <f aca="false">U15</f>
        <v>1629</v>
      </c>
      <c r="V20" s="68"/>
    </row>
    <row r="21" customFormat="false" ht="15" hidden="false" customHeight="false" outlineLevel="0" collapsed="false">
      <c r="C21" s="40" t="s">
        <v>747</v>
      </c>
      <c r="E21" s="58" t="s">
        <v>831</v>
      </c>
      <c r="F21" s="41" t="n">
        <f aca="false">'Consensus DCF'!F22</f>
        <v>-397</v>
      </c>
      <c r="G21" s="41" t="n">
        <f aca="false">'Consensus DCF'!G22</f>
        <v>-386</v>
      </c>
      <c r="H21" s="62" t="n">
        <f aca="false">'Consensus DCF'!H22</f>
        <v>-331.585376344086</v>
      </c>
      <c r="I21" s="62" t="n">
        <f aca="false">'Consensus DCF'!I22</f>
        <v>-364.414623655914</v>
      </c>
      <c r="J21" s="62" t="n">
        <f aca="false">'Consensus DCF'!J22</f>
        <v>-307.405605610865</v>
      </c>
      <c r="K21" s="62" t="n">
        <f aca="false">'Consensus DCF'!K22</f>
        <v>-348.740024692007</v>
      </c>
      <c r="L21" s="62" t="n">
        <f aca="false">'Consensus DCF'!L22</f>
        <v>-381.539651685098</v>
      </c>
      <c r="M21" s="62" t="n">
        <f aca="false">'Consensus DCF'!M22</f>
        <v>-419.314718012031</v>
      </c>
      <c r="N21" s="62" t="n">
        <f aca="false">'Consensus DCF'!N22</f>
        <v>-336.099608605427</v>
      </c>
      <c r="O21" s="62" t="n">
        <f aca="false">'Consensus DCF'!O22</f>
        <v>-381.292285061336</v>
      </c>
      <c r="P21" s="62" t="n">
        <f aca="false">'Consensus DCF'!P22</f>
        <v>-417.153510730516</v>
      </c>
      <c r="Q21" s="62" t="n">
        <f aca="false">'Consensus DCF'!Q22</f>
        <v>-458.454595602721</v>
      </c>
      <c r="S21" s="62" t="n">
        <f aca="false">SUM(F21:I21)</f>
        <v>-1479</v>
      </c>
      <c r="T21" s="62" t="n">
        <f aca="false">SUM(J21:M21)</f>
        <v>-1457</v>
      </c>
      <c r="U21" s="62" t="n">
        <f aca="false">SUM(N21:Q21)</f>
        <v>-1593</v>
      </c>
      <c r="V21" s="68"/>
    </row>
    <row r="22" customFormat="false" ht="15" hidden="false" customHeight="false" outlineLevel="0" collapsed="false">
      <c r="C22" s="40" t="s">
        <v>839</v>
      </c>
      <c r="E22" s="58" t="s">
        <v>831</v>
      </c>
      <c r="F22" s="41" t="n">
        <f aca="false">'Consensus DCF'!F23</f>
        <v>4683</v>
      </c>
      <c r="G22" s="41" t="n">
        <f aca="false">'Consensus DCF'!G23</f>
        <v>4896</v>
      </c>
      <c r="H22" s="62" t="n">
        <f aca="false">'Consensus DCF'!H23</f>
        <v>-212.196379928316</v>
      </c>
      <c r="I22" s="62" t="n">
        <f aca="false">'Consensus DCF'!I23</f>
        <v>-338.053620071684</v>
      </c>
      <c r="J22" s="62" t="n">
        <f aca="false">'Consensus DCF'!J23</f>
        <v>569.839403451628</v>
      </c>
      <c r="K22" s="62" t="n">
        <f aca="false">'Consensus DCF'!K23</f>
        <v>398.076026425701</v>
      </c>
      <c r="L22" s="62" t="n">
        <f aca="false">'Consensus DCF'!L23</f>
        <v>261.778605952349</v>
      </c>
      <c r="M22" s="62" t="n">
        <f aca="false">'Consensus DCF'!M23</f>
        <v>104.805964170323</v>
      </c>
      <c r="N22" s="62" t="n">
        <f aca="false">'Consensus DCF'!N23</f>
        <v>505.992277180908</v>
      </c>
      <c r="O22" s="62" t="n">
        <f aca="false">'Consensus DCF'!O23</f>
        <v>261.539047518979</v>
      </c>
      <c r="P22" s="62" t="n">
        <f aca="false">'Consensus DCF'!P23</f>
        <v>67.5608828705776</v>
      </c>
      <c r="Q22" s="62" t="n">
        <f aca="false">'Consensus DCF'!Q23</f>
        <v>-155.842207570464</v>
      </c>
      <c r="S22" s="62" t="n">
        <f aca="false">SUM(F22:I22)</f>
        <v>9028.75</v>
      </c>
      <c r="T22" s="62" t="n">
        <f aca="false">SUM(J22:M22)</f>
        <v>1334.5</v>
      </c>
      <c r="U22" s="62" t="n">
        <f aca="false">SUM(N22:Q22)</f>
        <v>679.250000000001</v>
      </c>
      <c r="V22" s="68"/>
    </row>
    <row r="23" customFormat="false" ht="15" hidden="false" customHeight="false" outlineLevel="0" collapsed="false">
      <c r="C23" s="42" t="s">
        <v>753</v>
      </c>
      <c r="D23" s="112"/>
      <c r="E23" s="112"/>
      <c r="F23" s="43" t="n">
        <f aca="false">F19+F20+F21+F22</f>
        <v>5043.25</v>
      </c>
      <c r="G23" s="43" t="n">
        <f aca="false">G19+G20+G21+G22</f>
        <v>5552</v>
      </c>
      <c r="H23" s="64" t="n">
        <f aca="false">H19+H20+H21+H22</f>
        <v>1059</v>
      </c>
      <c r="I23" s="64" t="n">
        <f aca="false">I19+I20+I21+I22</f>
        <v>1059</v>
      </c>
      <c r="J23" s="64" t="n">
        <f aca="false">J19+J20+J21+J22</f>
        <v>1781.19076825835</v>
      </c>
      <c r="K23" s="64" t="n">
        <f aca="false">K19+K20+K21+K22</f>
        <v>1879.42613028326</v>
      </c>
      <c r="L23" s="64" t="n">
        <f aca="false">L19+L20+L21+L22</f>
        <v>1999.64480625062</v>
      </c>
      <c r="M23" s="64" t="n">
        <f aca="false">M19+M20+M21+M22</f>
        <v>2143.52826385604</v>
      </c>
      <c r="N23" s="64" t="n">
        <f aca="false">N19+N20+N21+N22</f>
        <v>2347.5410454266</v>
      </c>
      <c r="O23" s="64" t="n">
        <f aca="false">O19+O20+O21+O22</f>
        <v>2350.70642504073</v>
      </c>
      <c r="P23" s="64" t="n">
        <f aca="false">P19+P20+P21+P22</f>
        <v>2353.21821238269</v>
      </c>
      <c r="Q23" s="64" t="n">
        <f aca="false">Q19+Q20+Q21+Q22</f>
        <v>2356.11101764116</v>
      </c>
      <c r="S23" s="64" t="n">
        <f aca="false">S19+S20+S21+S22</f>
        <v>12713.25</v>
      </c>
      <c r="T23" s="64" t="n">
        <f aca="false">T19+T20+T21+T22</f>
        <v>7803.78996864826</v>
      </c>
      <c r="U23" s="64" t="n">
        <f aca="false">U19+U20+U21+U22</f>
        <v>9407.57670049118</v>
      </c>
      <c r="V23" s="74"/>
    </row>
    <row r="25" customFormat="false" ht="15" hidden="false" customHeight="false" outlineLevel="0" collapsed="false">
      <c r="C25" s="40" t="s">
        <v>756</v>
      </c>
      <c r="E25" s="58" t="s">
        <v>757</v>
      </c>
      <c r="F25" s="40"/>
      <c r="G25" s="40"/>
      <c r="H25" s="115" t="n">
        <f aca="false">(H$8-$N$56)/365-0.125</f>
        <v>0.127054794520548</v>
      </c>
      <c r="I25" s="115" t="n">
        <f aca="false">(I$8-$N$56)/365-0.125</f>
        <v>0.379109589041096</v>
      </c>
      <c r="J25" s="115" t="n">
        <f aca="false">(J$8-$N$56)/365-0.125</f>
        <v>0.625684931506849</v>
      </c>
      <c r="K25" s="115" t="n">
        <f aca="false">(K$8-$N$56)/365-0.125</f>
        <v>0.875</v>
      </c>
      <c r="L25" s="115" t="n">
        <f aca="false">(L$8-$N$56)/365-0.125</f>
        <v>1.12705479452055</v>
      </c>
      <c r="M25" s="115" t="n">
        <f aca="false">(M$8-$N$56)/365-0.125</f>
        <v>1.3791095890411</v>
      </c>
      <c r="N25" s="115" t="n">
        <f aca="false">(N$8-$N$56)/365-0.125</f>
        <v>1.62842465753425</v>
      </c>
      <c r="O25" s="115" t="n">
        <f aca="false">(O$8-$N$56)/365-0.125</f>
        <v>1.8777397260274</v>
      </c>
      <c r="P25" s="115" t="n">
        <f aca="false">(P$8-$N$56)/365-0.125</f>
        <v>2.12979452054795</v>
      </c>
      <c r="Q25" s="115" t="n">
        <f aca="false">(Q$8-$N$56)/365-0.125</f>
        <v>2.38184931506849</v>
      </c>
      <c r="S25" s="68"/>
      <c r="T25" s="68"/>
      <c r="U25" s="68"/>
      <c r="V25" s="68"/>
    </row>
    <row r="26" customFormat="false" ht="15" hidden="false" customHeight="false" outlineLevel="0" collapsed="false">
      <c r="C26" s="46" t="s">
        <v>758</v>
      </c>
      <c r="F26" s="40"/>
      <c r="G26" s="40"/>
      <c r="H26" s="116" t="n">
        <f aca="false">1/(1+$N$60)^H25</f>
        <v>0.988093832569412</v>
      </c>
      <c r="I26" s="116" t="n">
        <f aca="false">1/(1+$N$60)^I25</f>
        <v>0.964891969622448</v>
      </c>
      <c r="J26" s="116" t="n">
        <f aca="false">1/(1+$N$60)^J25</f>
        <v>0.942721761418053</v>
      </c>
      <c r="K26" s="116" t="n">
        <f aca="false">1/(1+$N$60)^K25</f>
        <v>0.920823096962304</v>
      </c>
      <c r="L26" s="116" t="n">
        <f aca="false">1/(1+$N$60)^L25</f>
        <v>0.899200847546413</v>
      </c>
      <c r="M26" s="116" t="n">
        <f aca="false">1/(1+$N$60)^M25</f>
        <v>0.878086319615079</v>
      </c>
      <c r="N26" s="116" t="n">
        <f aca="false">1/(1+$N$60)^N25</f>
        <v>0.857689084223472</v>
      </c>
      <c r="O26" s="116" t="n">
        <f aca="false">1/(1+$N$60)^O25</f>
        <v>0.837765660121628</v>
      </c>
      <c r="P26" s="116" t="n">
        <f aca="false">1/(1+$N$60)^P25</f>
        <v>0.818093718665147</v>
      </c>
      <c r="Q26" s="116" t="n">
        <f aca="false">1/(1+$N$60)^Q25</f>
        <v>0.798883702660004</v>
      </c>
      <c r="S26" s="68"/>
      <c r="T26" s="68"/>
      <c r="U26" s="68"/>
      <c r="V26" s="68"/>
    </row>
    <row r="27" customFormat="false" ht="15" hidden="false" customHeight="false" outlineLevel="0" collapsed="false">
      <c r="C27" s="42" t="s">
        <v>759</v>
      </c>
      <c r="D27" s="112"/>
      <c r="E27" s="112"/>
      <c r="F27" s="73"/>
      <c r="G27" s="73"/>
      <c r="H27" s="64" t="n">
        <f aca="false">H23*H26</f>
        <v>1046.39136869101</v>
      </c>
      <c r="I27" s="64" t="n">
        <f aca="false">I23*I26</f>
        <v>1021.82059583017</v>
      </c>
      <c r="J27" s="64" t="n">
        <f aca="false">J23*J26</f>
        <v>1679.16729847408</v>
      </c>
      <c r="K27" s="64" t="n">
        <f aca="false">K23*K26</f>
        <v>1730.61898979931</v>
      </c>
      <c r="L27" s="64" t="n">
        <f aca="false">L23*L26</f>
        <v>1798.08230457234</v>
      </c>
      <c r="M27" s="64" t="n">
        <f aca="false">M23*M26</f>
        <v>1882.20284420025</v>
      </c>
      <c r="N27" s="64" t="n">
        <f aca="false">N23*N26</f>
        <v>2013.46032942895</v>
      </c>
      <c r="O27" s="64" t="n">
        <f aca="false">O23*O26</f>
        <v>1969.3411199264</v>
      </c>
      <c r="P27" s="64" t="n">
        <f aca="false">P23*P26</f>
        <v>1925.1530381987</v>
      </c>
      <c r="Q27" s="64" t="n">
        <f aca="false">Q23*Q26</f>
        <v>1882.2586936512</v>
      </c>
      <c r="S27" s="74"/>
      <c r="T27" s="74"/>
      <c r="U27" s="74"/>
      <c r="V27" s="74"/>
    </row>
    <row r="29" customFormat="false" ht="15" hidden="false" customHeight="false" outlineLevel="0" collapsed="false">
      <c r="C29" s="61" t="s">
        <v>840</v>
      </c>
      <c r="D29" s="61"/>
      <c r="E29" s="61"/>
      <c r="F29" s="61"/>
      <c r="G29" s="61"/>
      <c r="H29" s="61"/>
      <c r="I29" s="61"/>
      <c r="J29" s="61"/>
      <c r="K29" s="61"/>
      <c r="L29" s="61"/>
      <c r="M29" s="61"/>
      <c r="N29" s="61"/>
      <c r="O29" s="61"/>
      <c r="P29" s="61"/>
      <c r="Q29" s="61"/>
      <c r="R29" s="61"/>
      <c r="S29" s="61"/>
      <c r="T29" s="61"/>
      <c r="U29" s="61"/>
      <c r="V29" s="61"/>
    </row>
    <row r="30" customFormat="false" ht="15" hidden="false" customHeight="false" outlineLevel="0" collapsed="false">
      <c r="C30" s="40" t="s">
        <v>841</v>
      </c>
      <c r="F30" s="47" t="n">
        <f aca="false">'Consensus DCF'!H15</f>
        <v>0.161619677456782</v>
      </c>
    </row>
    <row r="31" customFormat="false" ht="15" hidden="false" customHeight="false" outlineLevel="0" collapsed="false">
      <c r="C31" s="40" t="s">
        <v>842</v>
      </c>
      <c r="E31" s="58" t="s">
        <v>843</v>
      </c>
      <c r="F31" s="113" t="n">
        <f aca="false">$N$54*$N$59/F71-SUM(F61:F65)</f>
        <v>250727.178625104</v>
      </c>
    </row>
    <row r="32" customFormat="false" ht="15" hidden="false" customHeight="false" outlineLevel="0" collapsed="false">
      <c r="C32" s="40" t="s">
        <v>844</v>
      </c>
      <c r="H32" s="62" t="n">
        <f aca="false">(H11*$F$30-H15)*(1-H17)+H15+H21+H22</f>
        <v>1059</v>
      </c>
      <c r="I32" s="62" t="n">
        <f aca="false">(I11*$F$30-I15)*(1-I17)+I15+I21+I22</f>
        <v>1059</v>
      </c>
      <c r="J32" s="62" t="n">
        <f aca="false">(J11*$F$30-J15)*(1-J17)+J15+J21+J22</f>
        <v>1686.76908278149</v>
      </c>
      <c r="K32" s="62" t="n">
        <f aca="false">(K11*$F$30-K15)*(1-K17)+K15+K21+K22</f>
        <v>1665.19047339454</v>
      </c>
      <c r="L32" s="62" t="n">
        <f aca="false">(L11*$F$30-L15)*(1-L17)+L15+L21+L22</f>
        <v>1648.06744724212</v>
      </c>
      <c r="M32" s="62" t="n">
        <f aca="false">(M11*$F$30-M15)*(1-M17)+M15+M21+M22</f>
        <v>1628.34699588571</v>
      </c>
      <c r="N32" s="62" t="n">
        <f aca="false">(N11*$F$30-N15)*(1-N17)+N15+N21+N22</f>
        <v>1805.45418066195</v>
      </c>
      <c r="O32" s="62" t="n">
        <f aca="false">(O11*$F$30-O15)*(1-O17)+O15+O21+O22</f>
        <v>1735.72939419718</v>
      </c>
      <c r="P32" s="62" t="n">
        <f aca="false">(P11*$F$30-P15)*(1-P17)+P15+P21+P22</f>
        <v>1680.40148493763</v>
      </c>
      <c r="Q32" s="62" t="n">
        <f aca="false">(Q11*$F$30-Q15)*(1-Q17)+Q15+Q21+Q22</f>
        <v>1616.68077730732</v>
      </c>
    </row>
    <row r="33" customFormat="false" ht="15" hidden="false" customHeight="false" outlineLevel="0" collapsed="false">
      <c r="C33" s="40" t="s">
        <v>845</v>
      </c>
      <c r="H33" s="62" t="n">
        <f aca="false">H32*H26</f>
        <v>1046.39136869101</v>
      </c>
      <c r="I33" s="62" t="n">
        <f aca="false">I32*I26</f>
        <v>1021.82059583017</v>
      </c>
      <c r="J33" s="62" t="n">
        <f aca="false">J32*J26</f>
        <v>1590.15392082528</v>
      </c>
      <c r="K33" s="62" t="n">
        <f aca="false">K32*K26</f>
        <v>1533.34584874329</v>
      </c>
      <c r="L33" s="62" t="n">
        <f aca="false">L32*L26</f>
        <v>1481.94364537377</v>
      </c>
      <c r="M33" s="62" t="n">
        <f aca="false">M32*M26</f>
        <v>1429.82922067355</v>
      </c>
      <c r="N33" s="62" t="n">
        <f aca="false">N32*N26</f>
        <v>1548.51834281939</v>
      </c>
      <c r="O33" s="62" t="n">
        <f aca="false">O32*O26</f>
        <v>1454.13448172211</v>
      </c>
      <c r="P33" s="62" t="n">
        <f aca="false">P32*P26</f>
        <v>1374.72589966306</v>
      </c>
      <c r="Q33" s="62" t="n">
        <f aca="false">Q32*Q26</f>
        <v>1291.53992539452</v>
      </c>
    </row>
    <row r="34" customFormat="false" ht="15" hidden="false" customHeight="false" outlineLevel="0" collapsed="false">
      <c r="C34" s="40" t="s">
        <v>846</v>
      </c>
      <c r="E34" s="58" t="s">
        <v>847</v>
      </c>
      <c r="H34" s="62" t="n">
        <f aca="false">H14*H11*(1-H17)*H26</f>
        <v>0</v>
      </c>
      <c r="I34" s="62" t="n">
        <f aca="false">I14*I11*(1-I17)*I26</f>
        <v>0</v>
      </c>
      <c r="J34" s="62" t="n">
        <f aca="false">J14*J11*(1-J17)*J26</f>
        <v>1574.42633803082</v>
      </c>
      <c r="K34" s="62" t="n">
        <f aca="false">K14*K11*(1-K17)*K26</f>
        <v>3489.27360435754</v>
      </c>
      <c r="L34" s="62" t="n">
        <f aca="false">L14*L11*(1-L17)*L26</f>
        <v>5591.71042217702</v>
      </c>
      <c r="M34" s="62" t="n">
        <f aca="false">M14*M11*(1-M17)*M26</f>
        <v>8001.36975276831</v>
      </c>
      <c r="N34" s="62" t="n">
        <f aca="false">N14*N11*(1-N17)*N26</f>
        <v>8223.67298837493</v>
      </c>
      <c r="O34" s="62" t="n">
        <f aca="false">O14*O11*(1-O17)*O26</f>
        <v>9112.73026755066</v>
      </c>
      <c r="P34" s="62" t="n">
        <f aca="false">P14*P11*(1-P17)*P26</f>
        <v>9735.69374590661</v>
      </c>
      <c r="Q34" s="62" t="n">
        <f aca="false">Q14*Q11*(1-Q17)*Q26</f>
        <v>10448.3529518663</v>
      </c>
    </row>
    <row r="35" customFormat="false" ht="15" hidden="false" customHeight="false" outlineLevel="0" collapsed="false">
      <c r="C35" s="40" t="s">
        <v>848</v>
      </c>
      <c r="E35" s="58" t="s">
        <v>849</v>
      </c>
      <c r="F35" s="113" t="n">
        <f aca="false">SUM(H33:Q33)+$N$62*F56*$F$30*V11</f>
        <v>186965.503240849</v>
      </c>
    </row>
    <row r="36" customFormat="false" ht="15" hidden="false" customHeight="false" outlineLevel="0" collapsed="false">
      <c r="C36" s="40" t="s">
        <v>850</v>
      </c>
      <c r="F36" s="113" t="n">
        <f aca="false">SUM(H34:Q34)+$N$62*F56*V11</f>
        <v>1127786.22420126</v>
      </c>
    </row>
    <row r="37" customFormat="false" ht="15" hidden="false" customHeight="false" outlineLevel="0" collapsed="false">
      <c r="C37" s="42" t="s">
        <v>851</v>
      </c>
      <c r="D37" s="112"/>
      <c r="E37" s="63" t="s">
        <v>852</v>
      </c>
      <c r="F37" s="132" t="n">
        <f aca="false">$F$30+(F31-F35)/F36</f>
        <v>0.218156700179695</v>
      </c>
    </row>
    <row r="39" customFormat="false" ht="15" hidden="false" customHeight="false" outlineLevel="0" collapsed="false">
      <c r="C39" s="61" t="s">
        <v>853</v>
      </c>
      <c r="D39" s="61"/>
      <c r="E39" s="61"/>
      <c r="F39" s="61"/>
      <c r="G39" s="61"/>
      <c r="H39" s="61"/>
      <c r="I39" s="61"/>
      <c r="J39" s="61"/>
      <c r="K39" s="61"/>
      <c r="L39" s="61"/>
      <c r="M39" s="61"/>
      <c r="N39" s="61"/>
      <c r="O39" s="61"/>
      <c r="P39" s="61"/>
      <c r="Q39" s="61"/>
      <c r="R39" s="61"/>
      <c r="S39" s="61"/>
      <c r="T39" s="61"/>
      <c r="U39" s="61"/>
      <c r="V39" s="61"/>
    </row>
    <row r="40" customFormat="false" ht="15" hidden="false" customHeight="false" outlineLevel="0" collapsed="false">
      <c r="C40" s="48" t="s">
        <v>854</v>
      </c>
      <c r="E40" s="58" t="s">
        <v>855</v>
      </c>
      <c r="F40" s="92" t="n">
        <f aca="false">F37</f>
        <v>0.218156700179695</v>
      </c>
    </row>
    <row r="41" customFormat="false" ht="15" hidden="false" customHeight="false" outlineLevel="0" collapsed="false">
      <c r="C41" s="40" t="s">
        <v>856</v>
      </c>
      <c r="F41" s="41" t="n">
        <f aca="false">U12</f>
        <v>13218.7689339882</v>
      </c>
    </row>
    <row r="42" customFormat="false" ht="15" hidden="false" customHeight="false" outlineLevel="0" collapsed="false">
      <c r="C42" s="40" t="s">
        <v>857</v>
      </c>
      <c r="E42" s="58" t="s">
        <v>858</v>
      </c>
      <c r="F42" s="133" t="n">
        <f aca="false">(F31-'Consensus DCF'!F38)/(F56*'Consensus DCF'!V14)</f>
        <v>20.2671623441869</v>
      </c>
    </row>
    <row r="43" customFormat="false" ht="15" hidden="false" customHeight="false" outlineLevel="0" collapsed="false">
      <c r="C43" s="40" t="s">
        <v>859</v>
      </c>
      <c r="E43" s="58" t="s">
        <v>860</v>
      </c>
      <c r="F43" s="133" t="n">
        <f aca="false">(F31-'Regular DCF'!F51)/(F56*'Regular DCF'!V13)</f>
        <v>30.9383073453581</v>
      </c>
    </row>
    <row r="44" customFormat="false" ht="15" hidden="false" customHeight="false" outlineLevel="0" collapsed="false">
      <c r="C44" s="40" t="s">
        <v>861</v>
      </c>
      <c r="F44" s="52" t="n">
        <f aca="false">$N$64/V12</f>
        <v>17.230174209674</v>
      </c>
    </row>
    <row r="45" customFormat="false" ht="15" hidden="false" customHeight="false" outlineLevel="0" collapsed="false">
      <c r="C45" s="40" t="s">
        <v>862</v>
      </c>
      <c r="F45" s="47" t="n">
        <f aca="false">'Consensus DCF'!U15</f>
        <v>0.215701483669731</v>
      </c>
    </row>
    <row r="46" customFormat="false" ht="15" hidden="false" customHeight="false" outlineLevel="0" collapsed="false">
      <c r="C46" s="40" t="s">
        <v>863</v>
      </c>
      <c r="E46" s="58" t="s">
        <v>864</v>
      </c>
      <c r="F46" s="47" t="n">
        <f aca="false">'Key Drivers'!J105</f>
        <v>0.16</v>
      </c>
    </row>
    <row r="47" customFormat="false" ht="15" hidden="false" customHeight="false" outlineLevel="0" collapsed="false">
      <c r="C47" s="40" t="s">
        <v>865</v>
      </c>
      <c r="E47" s="58" t="s">
        <v>864</v>
      </c>
      <c r="F47" s="47" t="n">
        <f aca="false">'Key Drivers'!J106</f>
        <v>0.18</v>
      </c>
    </row>
    <row r="48" customFormat="false" ht="15" hidden="false" customHeight="false" outlineLevel="0" collapsed="false">
      <c r="C48" s="40" t="s">
        <v>866</v>
      </c>
      <c r="E48" s="58" t="s">
        <v>864</v>
      </c>
      <c r="F48" s="47" t="n">
        <f aca="false">'Key Drivers'!J107</f>
        <v>0.13</v>
      </c>
    </row>
    <row r="49" customFormat="false" ht="15" hidden="false" customHeight="false" outlineLevel="0" collapsed="false">
      <c r="C49" s="40" t="s">
        <v>867</v>
      </c>
      <c r="E49" s="58" t="s">
        <v>868</v>
      </c>
      <c r="F49" s="107" t="n">
        <v>0.2</v>
      </c>
    </row>
    <row r="51" customFormat="false" ht="15" hidden="false" customHeight="false" outlineLevel="0" collapsed="false">
      <c r="C51" s="61" t="s">
        <v>869</v>
      </c>
      <c r="D51" s="61"/>
      <c r="E51" s="61"/>
      <c r="F51" s="61"/>
      <c r="G51" s="61"/>
      <c r="H51" s="61"/>
      <c r="I51" s="61"/>
      <c r="J51" s="61"/>
      <c r="K51" s="117" t="s">
        <v>870</v>
      </c>
      <c r="L51" s="117"/>
      <c r="M51" s="117"/>
      <c r="N51" s="117"/>
      <c r="O51" s="61"/>
      <c r="P51" s="61"/>
      <c r="Q51" s="61"/>
      <c r="R51" s="61"/>
      <c r="S51" s="61"/>
      <c r="T51" s="61"/>
      <c r="U51" s="61"/>
      <c r="V51" s="61"/>
    </row>
    <row r="52" customFormat="false" ht="15" hidden="false" customHeight="false" outlineLevel="0" collapsed="false">
      <c r="C52" s="40" t="s">
        <v>777</v>
      </c>
      <c r="E52" s="58" t="s">
        <v>778</v>
      </c>
      <c r="F52" s="52" t="n">
        <f aca="false">$N$62</f>
        <v>20</v>
      </c>
      <c r="K52" s="40" t="s">
        <v>779</v>
      </c>
      <c r="N52" s="134" t="str">
        <f aca="false">'Regular DCF'!N45</f>
        <v>GE Vernova Inc.</v>
      </c>
    </row>
    <row r="53" customFormat="false" ht="15" hidden="false" customHeight="false" outlineLevel="0" collapsed="false">
      <c r="C53" s="40" t="s">
        <v>781</v>
      </c>
      <c r="F53" s="41" t="n">
        <f aca="false">V12</f>
        <v>14805.0212060668</v>
      </c>
      <c r="K53" s="40" t="s">
        <v>782</v>
      </c>
      <c r="N53" s="134" t="str">
        <f aca="false">'Regular DCF'!N46</f>
        <v>NYSE:GEV</v>
      </c>
    </row>
    <row r="54" customFormat="false" ht="15" hidden="false" customHeight="false" outlineLevel="0" collapsed="false">
      <c r="C54" s="40" t="s">
        <v>784</v>
      </c>
      <c r="F54" s="41" t="n">
        <f aca="false">F52*F53</f>
        <v>296100.424121337</v>
      </c>
      <c r="K54" s="40" t="s">
        <v>785</v>
      </c>
      <c r="N54" s="121" t="n">
        <f aca="false">'Regular DCF'!N47</f>
        <v>987.45</v>
      </c>
    </row>
    <row r="55" customFormat="false" ht="15" hidden="false" customHeight="false" outlineLevel="0" collapsed="false">
      <c r="C55" s="40" t="s">
        <v>786</v>
      </c>
      <c r="F55" s="119" t="n">
        <f aca="false">(Q$8-$N$56)/365</f>
        <v>2.50684931506849</v>
      </c>
      <c r="K55" s="40" t="s">
        <v>787</v>
      </c>
      <c r="N55" s="124" t="n">
        <f aca="false">'Regular DCF'!N48</f>
        <v>46296</v>
      </c>
    </row>
    <row r="56" customFormat="false" ht="15" hidden="false" customHeight="false" outlineLevel="0" collapsed="false">
      <c r="C56" s="40" t="s">
        <v>758</v>
      </c>
      <c r="F56" s="121" t="n">
        <f aca="false">1/(1+$N$60)^F55</f>
        <v>0.789524982059915</v>
      </c>
      <c r="K56" s="40" t="s">
        <v>788</v>
      </c>
      <c r="N56" s="124" t="n">
        <f aca="false">'Regular DCF'!N49</f>
        <v>46203</v>
      </c>
    </row>
    <row r="57" customFormat="false" ht="15" hidden="false" customHeight="false" outlineLevel="0" collapsed="false">
      <c r="C57" s="40" t="s">
        <v>789</v>
      </c>
      <c r="F57" s="41" t="n">
        <f aca="false">F54*F56</f>
        <v>233778.682042331</v>
      </c>
      <c r="K57" s="40" t="s">
        <v>790</v>
      </c>
      <c r="N57" s="78" t="n">
        <f aca="false">'Regular DCF'!N50</f>
        <v>266.333581</v>
      </c>
    </row>
    <row r="58" customFormat="false" ht="15" hidden="false" customHeight="false" outlineLevel="0" collapsed="false">
      <c r="C58" s="40" t="s">
        <v>791</v>
      </c>
      <c r="F58" s="41" t="n">
        <f aca="false">SUM(H27:Q27)</f>
        <v>16948.4965827724</v>
      </c>
      <c r="K58" s="40" t="s">
        <v>792</v>
      </c>
      <c r="N58" s="78" t="n">
        <f aca="false">'Regular DCF'!N51</f>
        <v>2</v>
      </c>
    </row>
    <row r="59" customFormat="false" ht="15" hidden="false" customHeight="false" outlineLevel="0" collapsed="false">
      <c r="C59" s="42" t="s">
        <v>793</v>
      </c>
      <c r="D59" s="112"/>
      <c r="E59" s="112"/>
      <c r="F59" s="43" t="n">
        <f aca="false">F57+F58</f>
        <v>250727.178625104</v>
      </c>
      <c r="K59" s="40" t="s">
        <v>794</v>
      </c>
      <c r="N59" s="78" t="n">
        <f aca="false">'Regular DCF'!N52</f>
        <v>268.333581</v>
      </c>
    </row>
    <row r="60" customFormat="false" ht="15" hidden="false" customHeight="false" outlineLevel="0" collapsed="false">
      <c r="C60" s="46" t="s">
        <v>795</v>
      </c>
      <c r="F60" s="65" t="n">
        <f aca="false">F57/F59</f>
        <v>0.932402635104372</v>
      </c>
      <c r="K60" s="40" t="s">
        <v>796</v>
      </c>
      <c r="N60" s="47" t="n">
        <f aca="false">'Regular DCF'!N53</f>
        <v>0.0988577638305776</v>
      </c>
    </row>
    <row r="61" customFormat="false" ht="15" hidden="false" customHeight="false" outlineLevel="0" collapsed="false">
      <c r="C61" s="40" t="s">
        <v>797</v>
      </c>
      <c r="E61" s="58" t="s">
        <v>798</v>
      </c>
      <c r="F61" s="41" t="n">
        <f aca="false">'GEV Quarterly'!K333</f>
        <v>13120</v>
      </c>
      <c r="K61" s="40" t="s">
        <v>799</v>
      </c>
      <c r="N61" s="47" t="n">
        <f aca="false">'Regular DCF'!N54</f>
        <v>0.0997287275015211</v>
      </c>
    </row>
    <row r="62" customFormat="false" ht="15" hidden="false" customHeight="false" outlineLevel="0" collapsed="false">
      <c r="C62" s="40" t="s">
        <v>265</v>
      </c>
      <c r="F62" s="41" t="n">
        <f aca="false">-'GEV Quarterly'!K353</f>
        <v>-2794</v>
      </c>
      <c r="K62" s="40" t="s">
        <v>800</v>
      </c>
      <c r="N62" s="52" t="n">
        <f aca="false">'Key Drivers'!$J$115</f>
        <v>20</v>
      </c>
    </row>
    <row r="63" customFormat="false" ht="15" hidden="false" customHeight="false" outlineLevel="0" collapsed="false">
      <c r="C63" s="40" t="s">
        <v>277</v>
      </c>
      <c r="F63" s="41" t="n">
        <f aca="false">-'GEV Quarterly'!K365</f>
        <v>-1158</v>
      </c>
      <c r="K63" s="40" t="s">
        <v>801</v>
      </c>
      <c r="N63" s="41" t="n">
        <f aca="false">'Regular DCF'!N56</f>
        <v>262991.09455845</v>
      </c>
    </row>
    <row r="64" customFormat="false" ht="15" hidden="false" customHeight="false" outlineLevel="0" collapsed="false">
      <c r="C64" s="40" t="s">
        <v>802</v>
      </c>
      <c r="F64" s="41" t="n">
        <f aca="false">-'GEV Quarterly'!K355</f>
        <v>-2654</v>
      </c>
      <c r="K64" s="40" t="s">
        <v>803</v>
      </c>
      <c r="N64" s="41" t="n">
        <f aca="false">'Regular DCF'!N57</f>
        <v>255093.09455845</v>
      </c>
    </row>
    <row r="65" customFormat="false" ht="15" hidden="false" customHeight="false" outlineLevel="0" collapsed="false">
      <c r="C65" s="40" t="s">
        <v>804</v>
      </c>
      <c r="F65" s="41" t="n">
        <f aca="false">'GEV Quarterly'!K344</f>
        <v>1384</v>
      </c>
    </row>
    <row r="66" customFormat="false" ht="15" hidden="false" customHeight="false" outlineLevel="0" collapsed="false">
      <c r="C66" s="42" t="s">
        <v>805</v>
      </c>
      <c r="D66" s="112"/>
      <c r="E66" s="112"/>
      <c r="F66" s="43" t="n">
        <f aca="false">F59+SUM(F61:F65)</f>
        <v>258625.178625104</v>
      </c>
    </row>
    <row r="67" customFormat="false" ht="15" hidden="false" customHeight="false" outlineLevel="0" collapsed="false">
      <c r="C67" s="40" t="s">
        <v>794</v>
      </c>
      <c r="F67" s="78" t="n">
        <f aca="false">$N$59</f>
        <v>268.333581</v>
      </c>
    </row>
    <row r="69" customFormat="false" ht="15" hidden="false" customHeight="false" outlineLevel="0" collapsed="false">
      <c r="C69" s="61" t="s">
        <v>806</v>
      </c>
      <c r="D69" s="122"/>
      <c r="E69" s="122"/>
      <c r="F69" s="123" t="s">
        <v>807</v>
      </c>
      <c r="G69" s="123" t="s">
        <v>808</v>
      </c>
      <c r="H69" s="123" t="s">
        <v>809</v>
      </c>
    </row>
    <row r="70" customFormat="false" ht="15" hidden="false" customHeight="false" outlineLevel="0" collapsed="false">
      <c r="C70" s="40" t="s">
        <v>810</v>
      </c>
      <c r="F70" s="124" t="n">
        <f aca="false">$N$55</f>
        <v>46296</v>
      </c>
      <c r="G70" s="124" t="n">
        <f aca="false">EDATE($N$55,3)</f>
        <v>46388</v>
      </c>
      <c r="H70" s="124" t="n">
        <f aca="false">EDATE($N$55,6)</f>
        <v>46478</v>
      </c>
    </row>
    <row r="71" customFormat="false" ht="15" hidden="false" customHeight="false" outlineLevel="0" collapsed="false">
      <c r="C71" s="46" t="s">
        <v>811</v>
      </c>
      <c r="F71" s="125" t="n">
        <f aca="false">(1+$N$61)^((F70-$N$56)/365)</f>
        <v>1.0245173960519</v>
      </c>
      <c r="G71" s="125" t="n">
        <f aca="false">(1+$N$61)^((G70-$N$56)/365)</f>
        <v>1.04936255478858</v>
      </c>
      <c r="H71" s="125" t="n">
        <f aca="false">(1+$N$61)^((H70-$N$56)/365)</f>
        <v>1.07425050480109</v>
      </c>
    </row>
    <row r="72" customFormat="false" ht="15" hidden="false" customHeight="false" outlineLevel="0" collapsed="false">
      <c r="C72" s="42" t="s">
        <v>812</v>
      </c>
      <c r="D72" s="112"/>
      <c r="E72" s="112"/>
      <c r="F72" s="126" t="n">
        <f aca="false">$F$66*F71/$F$67</f>
        <v>987.45</v>
      </c>
      <c r="G72" s="126" t="n">
        <f aca="false">$F$66*G71/$F$67</f>
        <v>1011.3962522443</v>
      </c>
      <c r="H72" s="126" t="n">
        <f aca="false">$F$66*H71/$F$67</f>
        <v>1035.38374756117</v>
      </c>
    </row>
    <row r="73" customFormat="false" ht="15" hidden="false" customHeight="false" outlineLevel="0" collapsed="false">
      <c r="C73" s="40" t="s">
        <v>813</v>
      </c>
      <c r="F73" s="121" t="n">
        <f aca="false">$N$54</f>
        <v>987.45</v>
      </c>
      <c r="G73" s="121" t="n">
        <f aca="false">$N$54</f>
        <v>987.45</v>
      </c>
      <c r="H73" s="121" t="n">
        <f aca="false">$N$54</f>
        <v>987.45</v>
      </c>
    </row>
    <row r="74" customFormat="false" ht="15" hidden="false" customHeight="false" outlineLevel="0" collapsed="false">
      <c r="C74" s="48" t="s">
        <v>814</v>
      </c>
      <c r="F74" s="92" t="n">
        <f aca="false">F72/F73-1</f>
        <v>0</v>
      </c>
      <c r="G74" s="92" t="n">
        <f aca="false">G72/G73-1</f>
        <v>0.0242505972396565</v>
      </c>
      <c r="H74" s="92" t="n">
        <f aca="false">H72/H73-1</f>
        <v>0.0485429617308943</v>
      </c>
    </row>
    <row r="76" customFormat="false" ht="15" hidden="false" customHeight="false" outlineLevel="0" collapsed="false">
      <c r="C76" s="46" t="s">
        <v>815</v>
      </c>
      <c r="F76" s="65" t="n">
        <f aca="false">(F54*$N$60-U23)/(F54+U23)</f>
        <v>0.0650203891354538</v>
      </c>
    </row>
    <row r="77" customFormat="false" ht="15" hidden="false" customHeight="false" outlineLevel="0" collapsed="false">
      <c r="C77" s="46" t="s">
        <v>816</v>
      </c>
      <c r="F77" s="84" t="n">
        <f aca="false">F59/S12</f>
        <v>39.6406606521903</v>
      </c>
    </row>
    <row r="78" customFormat="false" ht="15" hidden="false" customHeight="false" outlineLevel="0" collapsed="false">
      <c r="C78" s="46" t="s">
        <v>817</v>
      </c>
      <c r="F78" s="84" t="n">
        <f aca="false">$N$64/S12</f>
        <v>40.3309240408617</v>
      </c>
    </row>
    <row r="79" customFormat="false" ht="15" hidden="false" customHeight="false" outlineLevel="0" collapsed="false">
      <c r="C79" s="46" t="s">
        <v>818</v>
      </c>
      <c r="F79" s="84" t="n">
        <f aca="false">F59/U12</f>
        <v>18.9675135314932</v>
      </c>
    </row>
    <row r="80" customFormat="false" ht="15" hidden="false" customHeight="false" outlineLevel="0" collapsed="false">
      <c r="C80" s="46" t="s">
        <v>819</v>
      </c>
      <c r="F80" s="84" t="n">
        <f aca="false">$N$64/U12</f>
        <v>19.2977951148349</v>
      </c>
    </row>
    <row r="82" customFormat="false" ht="15" hidden="false" customHeight="false" outlineLevel="0" collapsed="false">
      <c r="C82" s="46" t="s">
        <v>871</v>
      </c>
      <c r="F82" s="135" t="n">
        <f aca="false">F72-F73</f>
        <v>0</v>
      </c>
    </row>
    <row r="84" customFormat="false" ht="15" hidden="false" customHeight="false" outlineLevel="0" collapsed="false">
      <c r="C84" s="48" t="s">
        <v>872</v>
      </c>
    </row>
    <row r="85" customFormat="false" ht="15" hidden="false" customHeight="false" outlineLevel="0" collapsed="false">
      <c r="E85" s="127" t="s">
        <v>821</v>
      </c>
      <c r="F85" s="128" t="n">
        <f aca="false">$N$62+-4</f>
        <v>16</v>
      </c>
      <c r="G85" s="128" t="n">
        <f aca="false">$N$62+-2</f>
        <v>18</v>
      </c>
      <c r="H85" s="128" t="n">
        <f aca="false">$N$62+0</f>
        <v>20</v>
      </c>
      <c r="I85" s="128" t="n">
        <f aca="false">$N$62+2</f>
        <v>22</v>
      </c>
      <c r="J85" s="128" t="n">
        <f aca="false">$N$62+4</f>
        <v>24</v>
      </c>
    </row>
    <row r="86" customFormat="false" ht="15" hidden="false" customHeight="false" outlineLevel="0" collapsed="false">
      <c r="E86" s="129" t="n">
        <f aca="false">$N$60+-0.02</f>
        <v>0.0788577638305776</v>
      </c>
      <c r="F86" s="47" t="n">
        <f aca="false">$F$30+($F$31-(SUMPRODUCT($H$32:$Q$32,(1+$E86)^(-$H$25:$Q$25))+F$85*$F$30*$V$11*(1+$E86)^(-$F$55)))/(SUMPRODUCT($H$14:$Q$14,$H$11:$Q$11,1-$H$17:$Q$17,(1+$E86)^(-$H$25:$Q$25))+F$85*$V$11*(1+$E86)^(-$F$55))</f>
        <v>0.257404380753109</v>
      </c>
      <c r="G86" s="47" t="n">
        <f aca="false">$F$30+($F$31-(SUMPRODUCT($H$32:$Q$32,(1+$E86)^(-$H$25:$Q$25))+G$85*$F$30*$V$11*(1+$E86)^(-$F$55)))/(SUMPRODUCT($H$14:$Q$14,$H$11:$Q$11,1-$H$17:$Q$17,(1+$E86)^(-$H$25:$Q$25))+G$85*$V$11*(1+$E86)^(-$F$55))</f>
        <v>0.230357239453193</v>
      </c>
      <c r="H86" s="47" t="n">
        <f aca="false">$F$30+($F$31-(SUMPRODUCT($H$32:$Q$32,(1+$E86)^(-$H$25:$Q$25))+H$85*$F$30*$V$11*(1+$E86)^(-$F$55)))/(SUMPRODUCT($H$14:$Q$14,$H$11:$Q$11,1-$H$17:$Q$17,(1+$E86)^(-$H$25:$Q$25))+H$85*$V$11*(1+$E86)^(-$F$55))</f>
        <v>0.208453666007776</v>
      </c>
      <c r="I86" s="47" t="n">
        <f aca="false">$F$30+($F$31-(SUMPRODUCT($H$32:$Q$32,(1+$E86)^(-$H$25:$Q$25))+I$85*$F$30*$V$11*(1+$E86)^(-$F$55)))/(SUMPRODUCT($H$14:$Q$14,$H$11:$Q$11,1-$H$17:$Q$17,(1+$E86)^(-$H$25:$Q$25))+I$85*$V$11*(1+$E86)^(-$F$55))</f>
        <v>0.190353826675208</v>
      </c>
      <c r="J86" s="47" t="n">
        <f aca="false">$F$30+($F$31-(SUMPRODUCT($H$32:$Q$32,(1+$E86)^(-$H$25:$Q$25))+J$85*$F$30*$V$11*(1+$E86)^(-$F$55)))/(SUMPRODUCT($H$14:$Q$14,$H$11:$Q$11,1-$H$17:$Q$17,(1+$E86)^(-$H$25:$Q$25))+J$85*$V$11*(1+$E86)^(-$F$55))</f>
        <v>0.175146056334225</v>
      </c>
    </row>
    <row r="87" customFormat="false" ht="15" hidden="false" customHeight="false" outlineLevel="0" collapsed="false">
      <c r="E87" s="129" t="n">
        <f aca="false">$N$60+-0.01</f>
        <v>0.0888577638305776</v>
      </c>
      <c r="F87" s="47" t="n">
        <f aca="false">$F$30+($F$31-(SUMPRODUCT($H$32:$Q$32,(1+$E87)^(-$H$25:$Q$25))+F$85*$F$30*$V$11*(1+$E87)^(-$F$55)))/(SUMPRODUCT($H$14:$Q$14,$H$11:$Q$11,1-$H$17:$Q$17,(1+$E87)^(-$H$25:$Q$25))+F$85*$V$11*(1+$E87)^(-$F$55))</f>
        <v>0.263333371233564</v>
      </c>
      <c r="G87" s="47" t="n">
        <f aca="false">$F$30+($F$31-(SUMPRODUCT($H$32:$Q$32,(1+$E87)^(-$H$25:$Q$25))+G$85*$F$30*$V$11*(1+$E87)^(-$F$55)))/(SUMPRODUCT($H$14:$Q$14,$H$11:$Q$11,1-$H$17:$Q$17,(1+$E87)^(-$H$25:$Q$25))+G$85*$V$11*(1+$E87)^(-$F$55))</f>
        <v>0.235673913804987</v>
      </c>
      <c r="H87" s="47" t="n">
        <f aca="false">$F$30+($F$31-(SUMPRODUCT($H$32:$Q$32,(1+$E87)^(-$H$25:$Q$25))+H$85*$F$30*$V$11*(1+$E87)^(-$F$55)))/(SUMPRODUCT($H$14:$Q$14,$H$11:$Q$11,1-$H$17:$Q$17,(1+$E87)^(-$H$25:$Q$25))+H$85*$V$11*(1+$E87)^(-$F$55))</f>
        <v>0.21327263121708</v>
      </c>
      <c r="I87" s="47" t="n">
        <f aca="false">$F$30+($F$31-(SUMPRODUCT($H$32:$Q$32,(1+$E87)^(-$H$25:$Q$25))+I$85*$F$30*$V$11*(1+$E87)^(-$F$55)))/(SUMPRODUCT($H$14:$Q$14,$H$11:$Q$11,1-$H$17:$Q$17,(1+$E87)^(-$H$25:$Q$25))+I$85*$V$11*(1+$E87)^(-$F$55))</f>
        <v>0.194760273009332</v>
      </c>
      <c r="J87" s="47" t="n">
        <f aca="false">$F$30+($F$31-(SUMPRODUCT($H$32:$Q$32,(1+$E87)^(-$H$25:$Q$25))+J$85*$F$30*$V$11*(1+$E87)^(-$F$55)))/(SUMPRODUCT($H$14:$Q$14,$H$11:$Q$11,1-$H$17:$Q$17,(1+$E87)^(-$H$25:$Q$25))+J$85*$V$11*(1+$E87)^(-$F$55))</f>
        <v>0.179205029559208</v>
      </c>
    </row>
    <row r="88" customFormat="false" ht="15" hidden="false" customHeight="false" outlineLevel="0" collapsed="false">
      <c r="E88" s="129" t="n">
        <f aca="false">$N$60+0</f>
        <v>0.0988577638305776</v>
      </c>
      <c r="F88" s="47" t="n">
        <f aca="false">$F$30+($F$31-(SUMPRODUCT($H$32:$Q$32,(1+$E88)^(-$H$25:$Q$25))+F$85*$F$30*$V$11*(1+$E88)^(-$F$55)))/(SUMPRODUCT($H$14:$Q$14,$H$11:$Q$11,1-$H$17:$Q$17,(1+$E88)^(-$H$25:$Q$25))+F$85*$V$11*(1+$E88)^(-$F$55))</f>
        <v>0.269341765639974</v>
      </c>
      <c r="G88" s="47" t="n">
        <f aca="false">$F$30+($F$31-(SUMPRODUCT($H$32:$Q$32,(1+$E88)^(-$H$25:$Q$25))+G$85*$F$30*$V$11*(1+$E88)^(-$F$55)))/(SUMPRODUCT($H$14:$Q$14,$H$11:$Q$11,1-$H$17:$Q$17,(1+$E88)^(-$H$25:$Q$25))+G$85*$V$11*(1+$E88)^(-$F$55))</f>
        <v>0.241062136324035</v>
      </c>
      <c r="H88" s="92" t="n">
        <f aca="false">$F$30+($F$31-(SUMPRODUCT($H$32:$Q$32,(1+$E88)^(-$H$25:$Q$25))+H$85*$F$30*$V$11*(1+$E88)^(-$F$55)))/(SUMPRODUCT($H$14:$Q$14,$H$11:$Q$11,1-$H$17:$Q$17,(1+$E88)^(-$H$25:$Q$25))+H$85*$V$11*(1+$E88)^(-$F$55))</f>
        <v>0.218156700179695</v>
      </c>
      <c r="I88" s="47" t="n">
        <f aca="false">$F$30+($F$31-(SUMPRODUCT($H$32:$Q$32,(1+$E88)^(-$H$25:$Q$25))+I$85*$F$30*$V$11*(1+$E88)^(-$F$55)))/(SUMPRODUCT($H$14:$Q$14,$H$11:$Q$11,1-$H$17:$Q$17,(1+$E88)^(-$H$25:$Q$25))+I$85*$V$11*(1+$E88)^(-$F$55))</f>
        <v>0.199226441744164</v>
      </c>
      <c r="J88" s="47" t="n">
        <f aca="false">$F$30+($F$31-(SUMPRODUCT($H$32:$Q$32,(1+$E88)^(-$H$25:$Q$25))+J$85*$F$30*$V$11*(1+$E88)^(-$F$55)))/(SUMPRODUCT($H$14:$Q$14,$H$11:$Q$11,1-$H$17:$Q$17,(1+$E88)^(-$H$25:$Q$25))+J$85*$V$11*(1+$E88)^(-$F$55))</f>
        <v>0.183319164298639</v>
      </c>
    </row>
    <row r="89" customFormat="false" ht="15" hidden="false" customHeight="false" outlineLevel="0" collapsed="false">
      <c r="E89" s="129" t="n">
        <f aca="false">$N$60+0.01</f>
        <v>0.108857763830578</v>
      </c>
      <c r="F89" s="47" t="n">
        <f aca="false">$F$30+($F$31-(SUMPRODUCT($H$32:$Q$32,(1+$E89)^(-$H$25:$Q$25))+F$85*$F$30*$V$11*(1+$E89)^(-$F$55)))/(SUMPRODUCT($H$14:$Q$14,$H$11:$Q$11,1-$H$17:$Q$17,(1+$E89)^(-$H$25:$Q$25))+F$85*$V$11*(1+$E89)^(-$F$55))</f>
        <v>0.275429850045628</v>
      </c>
      <c r="G89" s="47" t="n">
        <f aca="false">$F$30+($F$31-(SUMPRODUCT($H$32:$Q$32,(1+$E89)^(-$H$25:$Q$25))+G$85*$F$30*$V$11*(1+$E89)^(-$F$55)))/(SUMPRODUCT($H$14:$Q$14,$H$11:$Q$11,1-$H$17:$Q$17,(1+$E89)^(-$H$25:$Q$25))+G$85*$V$11*(1+$E89)^(-$F$55))</f>
        <v>0.246522172845885</v>
      </c>
      <c r="H89" s="47" t="n">
        <f aca="false">$F$30+($F$31-(SUMPRODUCT($H$32:$Q$32,(1+$E89)^(-$H$25:$Q$25))+H$85*$F$30*$V$11*(1+$E89)^(-$F$55)))/(SUMPRODUCT($H$14:$Q$14,$H$11:$Q$11,1-$H$17:$Q$17,(1+$E89)^(-$H$25:$Q$25))+H$85*$V$11*(1+$E89)^(-$F$55))</f>
        <v>0.223106120741793</v>
      </c>
      <c r="I89" s="47" t="n">
        <f aca="false">$F$30+($F$31-(SUMPRODUCT($H$32:$Q$32,(1+$E89)^(-$H$25:$Q$25))+I$85*$F$30*$V$11*(1+$E89)^(-$F$55)))/(SUMPRODUCT($H$14:$Q$14,$H$11:$Q$11,1-$H$17:$Q$17,(1+$E89)^(-$H$25:$Q$25))+I$85*$V$11*(1+$E89)^(-$F$55))</f>
        <v>0.203752564760606</v>
      </c>
      <c r="J89" s="47" t="n">
        <f aca="false">$F$30+($F$31-(SUMPRODUCT($H$32:$Q$32,(1+$E89)^(-$H$25:$Q$25))+J$85*$F$30*$V$11*(1+$E89)^(-$F$55)))/(SUMPRODUCT($H$14:$Q$14,$H$11:$Q$11,1-$H$17:$Q$17,(1+$E89)^(-$H$25:$Q$25))+J$85*$V$11*(1+$E89)^(-$F$55))</f>
        <v>0.187488678238517</v>
      </c>
    </row>
    <row r="90" customFormat="false" ht="15" hidden="false" customHeight="false" outlineLevel="0" collapsed="false">
      <c r="E90" s="129" t="n">
        <f aca="false">$N$60+0.02</f>
        <v>0.118857763830578</v>
      </c>
      <c r="F90" s="47" t="n">
        <f aca="false">$F$30+($F$31-(SUMPRODUCT($H$32:$Q$32,(1+$E90)^(-$H$25:$Q$25))+F$85*$F$30*$V$11*(1+$E90)^(-$F$55)))/(SUMPRODUCT($H$14:$Q$14,$H$11:$Q$11,1-$H$17:$Q$17,(1+$E90)^(-$H$25:$Q$25))+F$85*$V$11*(1+$E90)^(-$F$55))</f>
        <v>0.28159790801449</v>
      </c>
      <c r="G90" s="47" t="n">
        <f aca="false">$F$30+($F$31-(SUMPRODUCT($H$32:$Q$32,(1+$E90)^(-$H$25:$Q$25))+G$85*$F$30*$V$11*(1+$E90)^(-$F$55)))/(SUMPRODUCT($H$14:$Q$14,$H$11:$Q$11,1-$H$17:$Q$17,(1+$E90)^(-$H$25:$Q$25))+G$85*$V$11*(1+$E90)^(-$F$55))</f>
        <v>0.252054287012407</v>
      </c>
      <c r="H90" s="47" t="n">
        <f aca="false">$F$30+($F$31-(SUMPRODUCT($H$32:$Q$32,(1+$E90)^(-$H$25:$Q$25))+H$85*$F$30*$V$11*(1+$E90)^(-$F$55)))/(SUMPRODUCT($H$14:$Q$14,$H$11:$Q$11,1-$H$17:$Q$17,(1+$E90)^(-$H$25:$Q$25))+H$85*$V$11*(1+$E90)^(-$F$55))</f>
        <v>0.228121138804962</v>
      </c>
      <c r="I90" s="47" t="n">
        <f aca="false">$F$30+($F$31-(SUMPRODUCT($H$32:$Q$32,(1+$E90)^(-$H$25:$Q$25))+I$85*$F$30*$V$11*(1+$E90)^(-$F$55)))/(SUMPRODUCT($H$14:$Q$14,$H$11:$Q$11,1-$H$17:$Q$17,(1+$E90)^(-$H$25:$Q$25))+I$85*$V$11*(1+$E90)^(-$F$55))</f>
        <v>0.208338872195899</v>
      </c>
      <c r="J90" s="47" t="n">
        <f aca="false">$F$30+($F$31-(SUMPRODUCT($H$32:$Q$32,(1+$E90)^(-$H$25:$Q$25))+J$85*$F$30*$V$11*(1+$E90)^(-$F$55)))/(SUMPRODUCT($H$14:$Q$14,$H$11:$Q$11,1-$H$17:$Q$17,(1+$E90)^(-$H$25:$Q$25))+J$85*$V$11*(1+$E90)^(-$F$55))</f>
        <v>0.191713787486283</v>
      </c>
    </row>
  </sheetData>
  <mergeCells count="3">
    <mergeCell ref="F6:G6"/>
    <mergeCell ref="H6:Q6"/>
    <mergeCell ref="S6:V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V7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40"/>
    <col collapsed="false" customWidth="true" hidden="false" outlineLevel="0" max="4" min="4" style="0" width="1.51"/>
    <col collapsed="false" customWidth="true" hidden="false" outlineLevel="0" max="5" min="5" style="0" width="27"/>
    <col collapsed="false" customWidth="true" hidden="false" outlineLevel="0" max="17" min="6" style="0" width="10.51"/>
    <col collapsed="false" customWidth="true" hidden="false" outlineLevel="0" max="18" min="18" style="0" width="1.51"/>
    <col collapsed="false" customWidth="true" hidden="false" outlineLevel="0" max="22" min="19" style="0" width="11"/>
    <col collapsed="false" customWidth="true" hidden="false" outlineLevel="0" max="23" min="23" style="0" width="2.5"/>
  </cols>
  <sheetData>
    <row r="2" customFormat="false" ht="17.35" hidden="false" customHeight="false" outlineLevel="0" collapsed="false">
      <c r="C2" s="55" t="s">
        <v>409</v>
      </c>
    </row>
    <row r="3" customFormat="false" ht="15" hidden="false" customHeight="false" outlineLevel="0" collapsed="false">
      <c r="C3" s="56" t="s">
        <v>873</v>
      </c>
    </row>
    <row r="4" customFormat="false" ht="15" hidden="false" customHeight="false" outlineLevel="0" collapsed="false">
      <c r="C4" s="56" t="s">
        <v>721</v>
      </c>
    </row>
    <row r="6" customFormat="false" ht="15" hidden="false" customHeight="false" outlineLevel="0" collapsed="false">
      <c r="F6" s="59" t="s">
        <v>722</v>
      </c>
      <c r="G6" s="59"/>
      <c r="H6" s="59" t="s">
        <v>723</v>
      </c>
      <c r="I6" s="59"/>
      <c r="J6" s="59"/>
      <c r="K6" s="59"/>
      <c r="L6" s="59"/>
      <c r="M6" s="59"/>
      <c r="N6" s="59"/>
      <c r="O6" s="59"/>
      <c r="P6" s="59"/>
      <c r="Q6" s="59"/>
      <c r="S6" s="59" t="s">
        <v>2</v>
      </c>
      <c r="T6" s="59"/>
      <c r="U6" s="59"/>
      <c r="V6" s="59"/>
    </row>
    <row r="7" customFormat="false" ht="15" hidden="false" customHeight="false" outlineLevel="0" collapsed="false">
      <c r="C7" s="34" t="s">
        <v>418</v>
      </c>
      <c r="D7" s="34"/>
      <c r="E7" s="34" t="s">
        <v>420</v>
      </c>
      <c r="F7" s="35" t="s">
        <v>724</v>
      </c>
      <c r="G7" s="35" t="s">
        <v>725</v>
      </c>
      <c r="H7" s="35" t="s">
        <v>726</v>
      </c>
      <c r="I7" s="35" t="s">
        <v>727</v>
      </c>
      <c r="J7" s="35" t="s">
        <v>728</v>
      </c>
      <c r="K7" s="35" t="s">
        <v>729</v>
      </c>
      <c r="L7" s="35" t="s">
        <v>730</v>
      </c>
      <c r="M7" s="35" t="s">
        <v>731</v>
      </c>
      <c r="N7" s="35" t="s">
        <v>732</v>
      </c>
      <c r="O7" s="35" t="s">
        <v>733</v>
      </c>
      <c r="P7" s="35" t="s">
        <v>734</v>
      </c>
      <c r="Q7" s="35" t="s">
        <v>735</v>
      </c>
      <c r="R7" s="35"/>
      <c r="S7" s="35" t="s">
        <v>423</v>
      </c>
      <c r="T7" s="35" t="s">
        <v>424</v>
      </c>
      <c r="U7" s="35" t="s">
        <v>425</v>
      </c>
      <c r="V7" s="35" t="s">
        <v>426</v>
      </c>
    </row>
    <row r="8" customFormat="false" ht="15" hidden="false" customHeight="false" outlineLevel="0" collapsed="false">
      <c r="C8" s="34" t="s">
        <v>17</v>
      </c>
      <c r="D8" s="34"/>
      <c r="E8" s="34"/>
      <c r="F8" s="60" t="n">
        <v>46112</v>
      </c>
      <c r="G8" s="60" t="n">
        <v>46203</v>
      </c>
      <c r="H8" s="60" t="n">
        <v>46295</v>
      </c>
      <c r="I8" s="60" t="n">
        <v>46387</v>
      </c>
      <c r="J8" s="60" t="n">
        <v>46477</v>
      </c>
      <c r="K8" s="60" t="n">
        <v>46568</v>
      </c>
      <c r="L8" s="60" t="n">
        <v>46660</v>
      </c>
      <c r="M8" s="60" t="n">
        <v>46752</v>
      </c>
      <c r="N8" s="60" t="n">
        <v>46843</v>
      </c>
      <c r="O8" s="60" t="n">
        <v>46934</v>
      </c>
      <c r="P8" s="60" t="n">
        <v>47026</v>
      </c>
      <c r="Q8" s="60" t="n">
        <v>47118</v>
      </c>
      <c r="R8" s="35"/>
      <c r="S8" s="60" t="n">
        <v>46387</v>
      </c>
      <c r="T8" s="60" t="n">
        <v>46752</v>
      </c>
      <c r="U8" s="60" t="n">
        <v>47118</v>
      </c>
      <c r="V8" s="60" t="n">
        <v>47483</v>
      </c>
    </row>
    <row r="10" customFormat="false" ht="15" hidden="false" customHeight="false" outlineLevel="0" collapsed="false">
      <c r="C10" s="61" t="s">
        <v>736</v>
      </c>
      <c r="D10" s="61"/>
      <c r="E10" s="61"/>
      <c r="F10" s="61"/>
      <c r="G10" s="61"/>
      <c r="H10" s="61"/>
      <c r="I10" s="61"/>
      <c r="J10" s="61"/>
      <c r="K10" s="61"/>
      <c r="L10" s="61"/>
      <c r="M10" s="61"/>
      <c r="N10" s="61"/>
      <c r="O10" s="61"/>
      <c r="P10" s="61"/>
      <c r="Q10" s="61"/>
      <c r="R10" s="61"/>
      <c r="S10" s="61"/>
      <c r="T10" s="61"/>
      <c r="U10" s="61"/>
      <c r="V10" s="61"/>
    </row>
    <row r="11" customFormat="false" ht="15" hidden="false" customHeight="false" outlineLevel="0" collapsed="false">
      <c r="C11" s="42" t="s">
        <v>737</v>
      </c>
      <c r="D11" s="112"/>
      <c r="E11" s="63" t="s">
        <v>874</v>
      </c>
      <c r="F11" s="43" t="n">
        <f aca="false">'Regular DCF'!F11</f>
        <v>9337</v>
      </c>
      <c r="G11" s="43" t="n">
        <f aca="false">'Regular DCF'!G11</f>
        <v>11103</v>
      </c>
      <c r="H11" s="64" t="n">
        <f aca="false">($S11-$F11-$G11)*H13</f>
        <v>12318.6825806452</v>
      </c>
      <c r="I11" s="64" t="n">
        <f aca="false">($S11-$F11-$G11)*I13</f>
        <v>13538.3174193548</v>
      </c>
      <c r="J11" s="64" t="n">
        <f aca="false">$T11*J13</f>
        <v>11133.9061178387</v>
      </c>
      <c r="K11" s="64" t="n">
        <f aca="false">$T11*K13</f>
        <v>12630.9950878668</v>
      </c>
      <c r="L11" s="64" t="n">
        <f aca="false">$T11*L13</f>
        <v>13818.9629094539</v>
      </c>
      <c r="M11" s="64" t="n">
        <f aca="false">$T11*M13</f>
        <v>15187.1358848407</v>
      </c>
      <c r="N11" s="64" t="n">
        <f aca="false">$U11*N13</f>
        <v>12784.2332606583</v>
      </c>
      <c r="O11" s="64" t="n">
        <f aca="false">$U11*O13</f>
        <v>14503.2287688145</v>
      </c>
      <c r="P11" s="64" t="n">
        <f aca="false">$U11*P13</f>
        <v>15867.2835377867</v>
      </c>
      <c r="Q11" s="64" t="n">
        <f aca="false">$U11*Q13</f>
        <v>17438.2544327406</v>
      </c>
      <c r="S11" s="136" t="n">
        <v>46297</v>
      </c>
      <c r="T11" s="136" t="n">
        <v>52771</v>
      </c>
      <c r="U11" s="136" t="n">
        <v>60593</v>
      </c>
      <c r="V11" s="64" t="n">
        <f aca="false">U11*(1+V12)</f>
        <v>67864.16</v>
      </c>
    </row>
    <row r="12" customFormat="false" ht="15" hidden="false" customHeight="false" outlineLevel="0" collapsed="false">
      <c r="C12" s="46" t="s">
        <v>455</v>
      </c>
      <c r="E12" s="58" t="s">
        <v>875</v>
      </c>
      <c r="F12" s="65" t="n">
        <f aca="false">F11/Revenue!R18-1</f>
        <v>0.162475099601594</v>
      </c>
      <c r="G12" s="65" t="n">
        <f aca="false">G11/Revenue!S18-1</f>
        <v>0.218503072870939</v>
      </c>
      <c r="H12" s="66" t="n">
        <f aca="false">H11/Revenue!T18-1</f>
        <v>0.235698924731183</v>
      </c>
      <c r="I12" s="66" t="n">
        <f aca="false">I11/Revenue!U18-1</f>
        <v>0.235698924731183</v>
      </c>
      <c r="J12" s="66" t="n">
        <f aca="false">J11/Revenue!V18-1</f>
        <v>0.192450050105887</v>
      </c>
      <c r="K12" s="66" t="n">
        <f aca="false">K11/Revenue!W18-1</f>
        <v>0.137620020522991</v>
      </c>
      <c r="L12" s="66" t="n">
        <f aca="false">L11/Revenue!X18-1</f>
        <v>0.158045572533145</v>
      </c>
      <c r="M12" s="66" t="n">
        <f aca="false">M11/Revenue!Y18-1</f>
        <v>0.111731537985822</v>
      </c>
      <c r="N12" s="66" t="n">
        <f aca="false">N11/Revenue!Z18-1</f>
        <v>0.129801335993319</v>
      </c>
      <c r="O12" s="66" t="n">
        <f aca="false">O11/Revenue!AA18-1</f>
        <v>0.163035442465622</v>
      </c>
      <c r="P12" s="66" t="n">
        <f aca="false">P11/Revenue!AB18-1</f>
        <v>0.237027891267799</v>
      </c>
      <c r="Q12" s="66" t="n">
        <f aca="false">Q11/Revenue!AC18-1</f>
        <v>0.224526789812115</v>
      </c>
      <c r="S12" s="66" t="n">
        <f aca="false">S11/Revenue!$G$18-1</f>
        <v>0.216133862197589</v>
      </c>
      <c r="T12" s="66" t="n">
        <f aca="false">T11/S11-1</f>
        <v>0.139836274488628</v>
      </c>
      <c r="U12" s="66" t="n">
        <f aca="false">U11/T11-1</f>
        <v>0.148225351045082</v>
      </c>
      <c r="V12" s="137" t="n">
        <v>0.12</v>
      </c>
    </row>
    <row r="13" customFormat="false" ht="15" hidden="false" customHeight="false" outlineLevel="0" collapsed="false">
      <c r="C13" s="46" t="s">
        <v>876</v>
      </c>
      <c r="E13" s="58" t="s">
        <v>877</v>
      </c>
      <c r="F13" s="40"/>
      <c r="G13" s="40"/>
      <c r="H13" s="66" t="n">
        <f aca="false">Revenue!T18/Revenue!$G$18/(Revenue!T18/Revenue!$G$18+Revenue!U18/Revenue!$G$18)</f>
        <v>0.476415770609319</v>
      </c>
      <c r="I13" s="66" t="n">
        <f aca="false">Revenue!U18/Revenue!$G$18/(Revenue!T18/Revenue!$G$18+Revenue!U18/Revenue!$G$18)</f>
        <v>0.523584229390681</v>
      </c>
      <c r="J13" s="66" t="n">
        <f aca="false">Revenue!R18/Revenue!$G$18</f>
        <v>0.210985316136489</v>
      </c>
      <c r="K13" s="66" t="n">
        <f aca="false">Revenue!S18/Revenue!$G$18</f>
        <v>0.239354855656834</v>
      </c>
      <c r="L13" s="66" t="n">
        <f aca="false">Revenue!T18/Revenue!$G$18</f>
        <v>0.26186661062807</v>
      </c>
      <c r="M13" s="66" t="n">
        <f aca="false">Revenue!U18/Revenue!$G$18</f>
        <v>0.287793217578607</v>
      </c>
      <c r="N13" s="66" t="n">
        <f aca="false">Revenue!R18/Revenue!$G$18</f>
        <v>0.210985316136489</v>
      </c>
      <c r="O13" s="66" t="n">
        <f aca="false">Revenue!S18/Revenue!$G$18</f>
        <v>0.239354855656834</v>
      </c>
      <c r="P13" s="66" t="n">
        <f aca="false">Revenue!T18/Revenue!$G$18</f>
        <v>0.26186661062807</v>
      </c>
      <c r="Q13" s="66" t="n">
        <f aca="false">Revenue!U18/Revenue!$G$18</f>
        <v>0.287793217578607</v>
      </c>
      <c r="S13" s="68"/>
      <c r="T13" s="68"/>
      <c r="U13" s="68"/>
      <c r="V13" s="68"/>
    </row>
    <row r="14" customFormat="false" ht="15" hidden="false" customHeight="false" outlineLevel="0" collapsed="false">
      <c r="C14" s="40" t="s">
        <v>832</v>
      </c>
      <c r="E14" s="58" t="s">
        <v>878</v>
      </c>
      <c r="F14" s="41" t="n">
        <f aca="false">'Regular DCF'!F13</f>
        <v>896</v>
      </c>
      <c r="G14" s="41" t="n">
        <f aca="false">'Regular DCF'!G13</f>
        <v>1250</v>
      </c>
      <c r="H14" s="62" t="n">
        <f aca="false">($S14-$F14-$G14)*H11/SUM($H11:$I11)</f>
        <v>1990.94150537634</v>
      </c>
      <c r="I14" s="62" t="n">
        <f aca="false">($S14-$F14-$G14)*I11/SUM($H11:$I11)</f>
        <v>2188.05849462366</v>
      </c>
      <c r="J14" s="62" t="n">
        <f aca="false">$T14*J11/$T11</f>
        <v>2013.43287189051</v>
      </c>
      <c r="K14" s="62" t="n">
        <f aca="false">$T14*K11/$T11</f>
        <v>2284.16338753316</v>
      </c>
      <c r="L14" s="62" t="n">
        <f aca="false">$T14*L11/$T11</f>
        <v>2498.99306522367</v>
      </c>
      <c r="M14" s="62" t="n">
        <f aca="false">$T14*M11/$T11</f>
        <v>2746.41067535265</v>
      </c>
      <c r="N14" s="62" t="n">
        <f aca="false">$U14*N11/$U11</f>
        <v>2757.57808190391</v>
      </c>
      <c r="O14" s="62" t="n">
        <f aca="false">$U14*O11/$U11</f>
        <v>3128.36796343482</v>
      </c>
      <c r="P14" s="62" t="n">
        <f aca="false">$U14*P11/$U11</f>
        <v>3422.59660090888</v>
      </c>
      <c r="Q14" s="62" t="n">
        <f aca="false">$U14*Q11/$U11</f>
        <v>3761.4573537524</v>
      </c>
      <c r="S14" s="93" t="n">
        <v>6325</v>
      </c>
      <c r="T14" s="93" t="n">
        <v>9543</v>
      </c>
      <c r="U14" s="93" t="n">
        <v>13070</v>
      </c>
      <c r="V14" s="62" t="n">
        <f aca="false">V11*V15</f>
        <v>14638.4</v>
      </c>
    </row>
    <row r="15" customFormat="false" ht="15" hidden="false" customHeight="false" outlineLevel="0" collapsed="false">
      <c r="C15" s="46" t="s">
        <v>740</v>
      </c>
      <c r="E15" s="58" t="s">
        <v>879</v>
      </c>
      <c r="F15" s="65" t="n">
        <f aca="false">F14/F11</f>
        <v>0.0959623005247938</v>
      </c>
      <c r="G15" s="65" t="n">
        <f aca="false">G14/G11</f>
        <v>0.112582184995046</v>
      </c>
      <c r="H15" s="66" t="n">
        <f aca="false">H14/H11</f>
        <v>0.161619677456782</v>
      </c>
      <c r="I15" s="66" t="n">
        <f aca="false">I14/I11</f>
        <v>0.161619677456782</v>
      </c>
      <c r="J15" s="66" t="n">
        <f aca="false">J14/J11</f>
        <v>0.180837960243315</v>
      </c>
      <c r="K15" s="66" t="n">
        <f aca="false">K14/K11</f>
        <v>0.180837960243315</v>
      </c>
      <c r="L15" s="66" t="n">
        <f aca="false">L14/L11</f>
        <v>0.180837960243315</v>
      </c>
      <c r="M15" s="66" t="n">
        <f aca="false">M14/M11</f>
        <v>0.180837960243315</v>
      </c>
      <c r="N15" s="66" t="n">
        <f aca="false">N14/N11</f>
        <v>0.215701483669731</v>
      </c>
      <c r="O15" s="66" t="n">
        <f aca="false">O14/O11</f>
        <v>0.215701483669731</v>
      </c>
      <c r="P15" s="66" t="n">
        <f aca="false">P14/P11</f>
        <v>0.215701483669731</v>
      </c>
      <c r="Q15" s="66" t="n">
        <f aca="false">Q14/Q11</f>
        <v>0.215701483669731</v>
      </c>
      <c r="S15" s="66" t="n">
        <f aca="false">S14/S11</f>
        <v>0.136617923407564</v>
      </c>
      <c r="T15" s="66" t="n">
        <f aca="false">T14/T11</f>
        <v>0.180837960243315</v>
      </c>
      <c r="U15" s="66" t="n">
        <f aca="false">U14/U11</f>
        <v>0.215701483669731</v>
      </c>
      <c r="V15" s="66" t="n">
        <f aca="false">U15</f>
        <v>0.215701483669731</v>
      </c>
    </row>
    <row r="16" customFormat="false" ht="15" hidden="false" customHeight="false" outlineLevel="0" collapsed="false">
      <c r="C16" s="40" t="s">
        <v>742</v>
      </c>
      <c r="E16" s="58" t="s">
        <v>880</v>
      </c>
      <c r="F16" s="41" t="n">
        <f aca="false">'Regular DCF'!F15</f>
        <v>341</v>
      </c>
      <c r="G16" s="41" t="n">
        <f aca="false">'Regular DCF'!G15</f>
        <v>418</v>
      </c>
      <c r="H16" s="62" t="n">
        <f aca="false">(($S14-$S17)-$F16-$G16)*H11/SUM($H11:$I11)</f>
        <v>438.302508960574</v>
      </c>
      <c r="I16" s="62" t="n">
        <f aca="false">(($S14-$S17)-$F16-$G16)*I11/SUM($H11:$I11)</f>
        <v>481.697491039426</v>
      </c>
      <c r="J16" s="62" t="n">
        <f aca="false">($T14-$T17)*J11/$T11</f>
        <v>298.966192965405</v>
      </c>
      <c r="K16" s="62" t="n">
        <f aca="false">($T14-$T17)*K11/$T11</f>
        <v>339.165830465733</v>
      </c>
      <c r="L16" s="62" t="n">
        <f aca="false">($T14-$T17)*L11/$T11</f>
        <v>371.064987259975</v>
      </c>
      <c r="M16" s="62" t="n">
        <f aca="false">($T14-$T17)*M11/$T11</f>
        <v>407.802989308887</v>
      </c>
      <c r="N16" s="62" t="n">
        <f aca="false">($U14-$U17)*N11/$U11</f>
        <v>343.695079986341</v>
      </c>
      <c r="O16" s="62" t="n">
        <f aca="false">($U14-$U17)*O11/$U11</f>
        <v>389.909059864982</v>
      </c>
      <c r="P16" s="62" t="n">
        <f aca="false">($U14-$U17)*P11/$U11</f>
        <v>426.580708713126</v>
      </c>
      <c r="Q16" s="62" t="n">
        <f aca="false">($U14-$U17)*Q11/$U11</f>
        <v>468.815151435551</v>
      </c>
      <c r="S16" s="62" t="n">
        <f aca="false">S14-S17</f>
        <v>1679</v>
      </c>
      <c r="T16" s="62" t="n">
        <f aca="false">T14-T17</f>
        <v>1417</v>
      </c>
      <c r="U16" s="62" t="n">
        <f aca="false">U14-U17</f>
        <v>1629</v>
      </c>
      <c r="V16" s="68"/>
    </row>
    <row r="17" customFormat="false" ht="15" hidden="false" customHeight="false" outlineLevel="0" collapsed="false">
      <c r="C17" s="48" t="s">
        <v>837</v>
      </c>
      <c r="F17" s="113" t="n">
        <f aca="false">F14-F16</f>
        <v>555</v>
      </c>
      <c r="G17" s="113" t="n">
        <f aca="false">G14-G16</f>
        <v>832</v>
      </c>
      <c r="H17" s="114" t="n">
        <f aca="false">H14-H16</f>
        <v>1552.63899641577</v>
      </c>
      <c r="I17" s="114" t="n">
        <f aca="false">I14-I16</f>
        <v>1706.36100358423</v>
      </c>
      <c r="J17" s="114" t="n">
        <f aca="false">J14-J16</f>
        <v>1714.46667892511</v>
      </c>
      <c r="K17" s="114" t="n">
        <f aca="false">K14-K16</f>
        <v>1944.99755706743</v>
      </c>
      <c r="L17" s="114" t="n">
        <f aca="false">L14-L16</f>
        <v>2127.9280779637</v>
      </c>
      <c r="M17" s="114" t="n">
        <f aca="false">M14-M16</f>
        <v>2338.60768604376</v>
      </c>
      <c r="N17" s="114" t="n">
        <f aca="false">N14-N16</f>
        <v>2413.88300191757</v>
      </c>
      <c r="O17" s="114" t="n">
        <f aca="false">O14-O16</f>
        <v>2738.45890356983</v>
      </c>
      <c r="P17" s="114" t="n">
        <f aca="false">P14-P16</f>
        <v>2996.01589219575</v>
      </c>
      <c r="Q17" s="114" t="n">
        <f aca="false">Q14-Q16</f>
        <v>3292.64220231685</v>
      </c>
      <c r="S17" s="138" t="n">
        <v>4646</v>
      </c>
      <c r="T17" s="138" t="n">
        <v>8126</v>
      </c>
      <c r="U17" s="138" t="n">
        <v>11441</v>
      </c>
      <c r="V17" s="68"/>
    </row>
    <row r="18" customFormat="false" ht="15" hidden="false" customHeight="false" outlineLevel="0" collapsed="false">
      <c r="C18" s="46" t="s">
        <v>838</v>
      </c>
      <c r="F18" s="65" t="n">
        <f aca="false">'Key Drivers'!$H$124</f>
        <v>0.25</v>
      </c>
      <c r="G18" s="65" t="n">
        <f aca="false">'Key Drivers'!$H$124</f>
        <v>0.25</v>
      </c>
      <c r="H18" s="66" t="n">
        <f aca="false">'Key Drivers'!$H$124</f>
        <v>0.25</v>
      </c>
      <c r="I18" s="66" t="n">
        <f aca="false">'Key Drivers'!$H$124</f>
        <v>0.25</v>
      </c>
      <c r="J18" s="66" t="n">
        <f aca="false">'Key Drivers'!$I$124</f>
        <v>0.25</v>
      </c>
      <c r="K18" s="66" t="n">
        <f aca="false">'Key Drivers'!$I$124</f>
        <v>0.25</v>
      </c>
      <c r="L18" s="66" t="n">
        <f aca="false">'Key Drivers'!$I$124</f>
        <v>0.25</v>
      </c>
      <c r="M18" s="66" t="n">
        <f aca="false">'Key Drivers'!$I$124</f>
        <v>0.25</v>
      </c>
      <c r="N18" s="66" t="n">
        <f aca="false">'Key Drivers'!$J$124</f>
        <v>0.25</v>
      </c>
      <c r="O18" s="66" t="n">
        <f aca="false">'Key Drivers'!$J$124</f>
        <v>0.25</v>
      </c>
      <c r="P18" s="66" t="n">
        <f aca="false">'Key Drivers'!$J$124</f>
        <v>0.25</v>
      </c>
      <c r="Q18" s="66" t="n">
        <f aca="false">'Key Drivers'!$J$124</f>
        <v>0.25</v>
      </c>
      <c r="S18" s="66" t="n">
        <f aca="false">'Key Drivers'!$H$124</f>
        <v>0.25</v>
      </c>
      <c r="T18" s="66" t="n">
        <f aca="false">'Key Drivers'!$I$124</f>
        <v>0.25</v>
      </c>
      <c r="U18" s="66" t="n">
        <f aca="false">'Key Drivers'!$J$124</f>
        <v>0.25</v>
      </c>
      <c r="V18" s="68"/>
    </row>
    <row r="19" customFormat="false" ht="15" hidden="false" customHeight="false" outlineLevel="0" collapsed="false">
      <c r="C19" s="40" t="s">
        <v>744</v>
      </c>
      <c r="F19" s="41" t="n">
        <f aca="false">F17*F18</f>
        <v>138.75</v>
      </c>
      <c r="G19" s="41" t="n">
        <f aca="false">G17*G18</f>
        <v>208</v>
      </c>
      <c r="H19" s="62" t="n">
        <f aca="false">H17*H18</f>
        <v>388.159749103943</v>
      </c>
      <c r="I19" s="62" t="n">
        <f aca="false">I17*I18</f>
        <v>426.590250896057</v>
      </c>
      <c r="J19" s="62" t="n">
        <f aca="false">J17*J18</f>
        <v>428.616669731277</v>
      </c>
      <c r="K19" s="62" t="n">
        <f aca="false">K17*K18</f>
        <v>486.249389266858</v>
      </c>
      <c r="L19" s="62" t="n">
        <f aca="false">L17*L18</f>
        <v>531.982019490925</v>
      </c>
      <c r="M19" s="62" t="n">
        <f aca="false">M17*M18</f>
        <v>584.651921510941</v>
      </c>
      <c r="N19" s="62" t="n">
        <f aca="false">N17*N18</f>
        <v>603.470750479393</v>
      </c>
      <c r="O19" s="62" t="n">
        <f aca="false">O17*O18</f>
        <v>684.614725892458</v>
      </c>
      <c r="P19" s="62" t="n">
        <f aca="false">P17*P18</f>
        <v>749.003973048937</v>
      </c>
      <c r="Q19" s="62" t="n">
        <f aca="false">Q17*Q18</f>
        <v>823.160550579211</v>
      </c>
      <c r="S19" s="62" t="n">
        <f aca="false">SUM(F19:I19)</f>
        <v>1161.5</v>
      </c>
      <c r="T19" s="62" t="n">
        <f aca="false">SUM(J19:M19)</f>
        <v>2031.5</v>
      </c>
      <c r="U19" s="62" t="n">
        <f aca="false">SUM(N19:Q19)</f>
        <v>2860.25</v>
      </c>
      <c r="V19" s="68"/>
    </row>
    <row r="20" customFormat="false" ht="15" hidden="false" customHeight="false" outlineLevel="0" collapsed="false">
      <c r="C20" s="42" t="s">
        <v>745</v>
      </c>
      <c r="D20" s="112"/>
      <c r="E20" s="112"/>
      <c r="F20" s="43" t="n">
        <f aca="false">F17-F19</f>
        <v>416.25</v>
      </c>
      <c r="G20" s="43" t="n">
        <f aca="false">G17-G19</f>
        <v>624</v>
      </c>
      <c r="H20" s="64" t="n">
        <f aca="false">H17-H19</f>
        <v>1164.47924731183</v>
      </c>
      <c r="I20" s="64" t="n">
        <f aca="false">I17-I19</f>
        <v>1279.77075268817</v>
      </c>
      <c r="J20" s="64" t="n">
        <f aca="false">J17-J19</f>
        <v>1285.85000919383</v>
      </c>
      <c r="K20" s="64" t="n">
        <f aca="false">K17-K19</f>
        <v>1458.74816780057</v>
      </c>
      <c r="L20" s="64" t="n">
        <f aca="false">L17-L19</f>
        <v>1595.94605847277</v>
      </c>
      <c r="M20" s="64" t="n">
        <f aca="false">M17-M19</f>
        <v>1753.95576453282</v>
      </c>
      <c r="N20" s="64" t="n">
        <f aca="false">N17-N19</f>
        <v>1810.41225143818</v>
      </c>
      <c r="O20" s="64" t="n">
        <f aca="false">O17-O19</f>
        <v>2053.84417767738</v>
      </c>
      <c r="P20" s="64" t="n">
        <f aca="false">P17-P19</f>
        <v>2247.01191914681</v>
      </c>
      <c r="Q20" s="64" t="n">
        <f aca="false">Q17-Q19</f>
        <v>2469.48165173763</v>
      </c>
      <c r="S20" s="64" t="n">
        <f aca="false">SUM(F20:I20)</f>
        <v>3484.5</v>
      </c>
      <c r="T20" s="64" t="n">
        <f aca="false">SUM(J20:M20)</f>
        <v>6094.5</v>
      </c>
      <c r="U20" s="64" t="n">
        <f aca="false">SUM(N20:Q20)</f>
        <v>8580.75</v>
      </c>
      <c r="V20" s="74"/>
    </row>
    <row r="21" customFormat="false" ht="15" hidden="false" customHeight="false" outlineLevel="0" collapsed="false">
      <c r="C21" s="40" t="s">
        <v>746</v>
      </c>
      <c r="F21" s="41" t="n">
        <f aca="false">F16</f>
        <v>341</v>
      </c>
      <c r="G21" s="41" t="n">
        <f aca="false">G16</f>
        <v>418</v>
      </c>
      <c r="H21" s="62" t="n">
        <f aca="false">H16</f>
        <v>438.302508960574</v>
      </c>
      <c r="I21" s="62" t="n">
        <f aca="false">I16</f>
        <v>481.697491039426</v>
      </c>
      <c r="J21" s="62" t="n">
        <f aca="false">J16</f>
        <v>298.966192965405</v>
      </c>
      <c r="K21" s="62" t="n">
        <f aca="false">K16</f>
        <v>339.165830465733</v>
      </c>
      <c r="L21" s="62" t="n">
        <f aca="false">L16</f>
        <v>371.064987259975</v>
      </c>
      <c r="M21" s="62" t="n">
        <f aca="false">M16</f>
        <v>407.802989308887</v>
      </c>
      <c r="N21" s="62" t="n">
        <f aca="false">N16</f>
        <v>343.695079986341</v>
      </c>
      <c r="O21" s="62" t="n">
        <f aca="false">O16</f>
        <v>389.909059864982</v>
      </c>
      <c r="P21" s="62" t="n">
        <f aca="false">P16</f>
        <v>426.580708713126</v>
      </c>
      <c r="Q21" s="62" t="n">
        <f aca="false">Q16</f>
        <v>468.815151435551</v>
      </c>
      <c r="S21" s="62" t="n">
        <f aca="false">SUM(F21:I21)</f>
        <v>1679</v>
      </c>
      <c r="T21" s="62" t="n">
        <f aca="false">SUM(J21:M21)</f>
        <v>1417</v>
      </c>
      <c r="U21" s="62" t="n">
        <f aca="false">SUM(N21:Q21)</f>
        <v>1629</v>
      </c>
      <c r="V21" s="68"/>
    </row>
    <row r="22" customFormat="false" ht="15" hidden="false" customHeight="false" outlineLevel="0" collapsed="false">
      <c r="C22" s="40" t="s">
        <v>747</v>
      </c>
      <c r="E22" s="58" t="s">
        <v>881</v>
      </c>
      <c r="F22" s="41" t="n">
        <f aca="false">'Regular DCF'!F20</f>
        <v>-397</v>
      </c>
      <c r="G22" s="41" t="n">
        <f aca="false">'Regular DCF'!G20</f>
        <v>-386</v>
      </c>
      <c r="H22" s="62" t="n">
        <f aca="false">($S22-$F22-$G22)*H11/SUM($H11:$I11)</f>
        <v>-331.585376344086</v>
      </c>
      <c r="I22" s="62" t="n">
        <f aca="false">($S22-$F22-$G22)*I11/SUM($H11:$I11)</f>
        <v>-364.414623655914</v>
      </c>
      <c r="J22" s="62" t="n">
        <f aca="false">$T22*J11/$T11</f>
        <v>-307.405605610865</v>
      </c>
      <c r="K22" s="62" t="n">
        <f aca="false">$T22*K11/$T11</f>
        <v>-348.740024692007</v>
      </c>
      <c r="L22" s="62" t="n">
        <f aca="false">$T22*L11/$T11</f>
        <v>-381.539651685098</v>
      </c>
      <c r="M22" s="62" t="n">
        <f aca="false">$T22*M11/$T11</f>
        <v>-419.314718012031</v>
      </c>
      <c r="N22" s="62" t="n">
        <f aca="false">$U22*N11/$U11</f>
        <v>-336.099608605427</v>
      </c>
      <c r="O22" s="62" t="n">
        <f aca="false">$U22*O11/$U11</f>
        <v>-381.292285061336</v>
      </c>
      <c r="P22" s="62" t="n">
        <f aca="false">$U22*P11/$U11</f>
        <v>-417.153510730516</v>
      </c>
      <c r="Q22" s="62" t="n">
        <f aca="false">$U22*Q11/$U11</f>
        <v>-458.454595602721</v>
      </c>
      <c r="S22" s="93" t="n">
        <v>-1479</v>
      </c>
      <c r="T22" s="93" t="n">
        <v>-1457</v>
      </c>
      <c r="U22" s="93" t="n">
        <v>-1593</v>
      </c>
      <c r="V22" s="68"/>
    </row>
    <row r="23" customFormat="false" ht="15" hidden="false" customHeight="false" outlineLevel="0" collapsed="false">
      <c r="C23" s="40" t="s">
        <v>839</v>
      </c>
      <c r="E23" s="58" t="s">
        <v>882</v>
      </c>
      <c r="F23" s="41" t="n">
        <f aca="false">'Regular DCF'!F21+'Regular DCF'!F22+'Regular DCF'!F23</f>
        <v>4683</v>
      </c>
      <c r="G23" s="41" t="n">
        <f aca="false">'Regular DCF'!G21+'Regular DCF'!G22+'Regular DCF'!G23</f>
        <v>4896</v>
      </c>
      <c r="H23" s="62" t="n">
        <f aca="false">H25-(H20+H21+H22)</f>
        <v>-212.196379928316</v>
      </c>
      <c r="I23" s="62" t="n">
        <f aca="false">I25-(I20+I21+I22)</f>
        <v>-338.053620071684</v>
      </c>
      <c r="J23" s="62" t="n">
        <f aca="false">J25-(J20+J21+J22)</f>
        <v>569.839403451628</v>
      </c>
      <c r="K23" s="62" t="n">
        <f aca="false">K25-(K20+K21+K22)</f>
        <v>398.076026425701</v>
      </c>
      <c r="L23" s="62" t="n">
        <f aca="false">L25-(L20+L21+L22)</f>
        <v>261.778605952349</v>
      </c>
      <c r="M23" s="62" t="n">
        <f aca="false">M25-(M20+M21+M22)</f>
        <v>104.805964170323</v>
      </c>
      <c r="N23" s="62" t="n">
        <f aca="false">N25-(N20+N21+N22)</f>
        <v>505.992277180908</v>
      </c>
      <c r="O23" s="62" t="n">
        <f aca="false">O25-(O20+O21+O22)</f>
        <v>261.539047518979</v>
      </c>
      <c r="P23" s="62" t="n">
        <f aca="false">P25-(P20+P21+P22)</f>
        <v>67.5608828705776</v>
      </c>
      <c r="Q23" s="62" t="n">
        <f aca="false">Q25-(Q20+Q21+Q22)</f>
        <v>-155.842207570464</v>
      </c>
      <c r="S23" s="62" t="n">
        <f aca="false">SUM(F23:I23)</f>
        <v>9028.75</v>
      </c>
      <c r="T23" s="62" t="n">
        <f aca="false">SUM(J23:M23)</f>
        <v>1334.5</v>
      </c>
      <c r="U23" s="62" t="n">
        <f aca="false">SUM(N23:Q23)</f>
        <v>679.250000000001</v>
      </c>
      <c r="V23" s="68"/>
    </row>
    <row r="24" customFormat="false" ht="15" hidden="false" customHeight="false" outlineLevel="0" collapsed="false">
      <c r="C24" s="42" t="s">
        <v>753</v>
      </c>
      <c r="D24" s="112"/>
      <c r="E24" s="112"/>
      <c r="F24" s="43" t="n">
        <f aca="false">F20+F21+F22+F23</f>
        <v>5043.25</v>
      </c>
      <c r="G24" s="43" t="n">
        <f aca="false">G20+G21+G22+G23</f>
        <v>5552</v>
      </c>
      <c r="H24" s="64" t="n">
        <f aca="false">H20+H21+H22+H23</f>
        <v>1059</v>
      </c>
      <c r="I24" s="64" t="n">
        <f aca="false">I20+I21+I22+I23</f>
        <v>1059</v>
      </c>
      <c r="J24" s="64" t="n">
        <f aca="false">J20+J21+J22+J23</f>
        <v>1847.25</v>
      </c>
      <c r="K24" s="64" t="n">
        <f aca="false">K20+K21+K22+K23</f>
        <v>1847.25</v>
      </c>
      <c r="L24" s="64" t="n">
        <f aca="false">L20+L21+L22+L23</f>
        <v>1847.25</v>
      </c>
      <c r="M24" s="64" t="n">
        <f aca="false">M20+M21+M22+M23</f>
        <v>1847.25</v>
      </c>
      <c r="N24" s="64" t="n">
        <f aca="false">N20+N21+N22+N23</f>
        <v>2324</v>
      </c>
      <c r="O24" s="64" t="n">
        <f aca="false">O20+O21+O22+O23</f>
        <v>2324</v>
      </c>
      <c r="P24" s="64" t="n">
        <f aca="false">P20+P21+P22+P23</f>
        <v>2324</v>
      </c>
      <c r="Q24" s="64" t="n">
        <f aca="false">Q20+Q21+Q22+Q23</f>
        <v>2324</v>
      </c>
      <c r="S24" s="64" t="n">
        <f aca="false">SUM(F24:I24)</f>
        <v>12713.25</v>
      </c>
      <c r="T24" s="64" t="n">
        <f aca="false">SUM(J24:M24)</f>
        <v>7389</v>
      </c>
      <c r="U24" s="64" t="n">
        <f aca="false">SUM(N24:Q24)</f>
        <v>9296</v>
      </c>
      <c r="V24" s="74"/>
    </row>
    <row r="25" customFormat="false" ht="15" hidden="false" customHeight="false" outlineLevel="0" collapsed="false">
      <c r="C25" s="46" t="s">
        <v>883</v>
      </c>
      <c r="E25" s="58" t="s">
        <v>884</v>
      </c>
      <c r="F25" s="51" t="n">
        <f aca="false">'GEV Quarterly'!J325</f>
        <v>4791</v>
      </c>
      <c r="G25" s="51" t="n">
        <f aca="false">'GEV Quarterly'!K325</f>
        <v>5106</v>
      </c>
      <c r="H25" s="67" t="n">
        <f aca="false">($S25-$F25-$G25)/2</f>
        <v>1059</v>
      </c>
      <c r="I25" s="67" t="n">
        <f aca="false">($S25-$F25-$G25)/2</f>
        <v>1059</v>
      </c>
      <c r="J25" s="67" t="n">
        <f aca="false">$T25/4</f>
        <v>1847.25</v>
      </c>
      <c r="K25" s="67" t="n">
        <f aca="false">$T25/4</f>
        <v>1847.25</v>
      </c>
      <c r="L25" s="67" t="n">
        <f aca="false">$T25/4</f>
        <v>1847.25</v>
      </c>
      <c r="M25" s="67" t="n">
        <f aca="false">$T25/4</f>
        <v>1847.25</v>
      </c>
      <c r="N25" s="67" t="n">
        <f aca="false">$U25/4</f>
        <v>2324</v>
      </c>
      <c r="O25" s="67" t="n">
        <f aca="false">$U25/4</f>
        <v>2324</v>
      </c>
      <c r="P25" s="67" t="n">
        <f aca="false">$U25/4</f>
        <v>2324</v>
      </c>
      <c r="Q25" s="67" t="n">
        <f aca="false">$U25/4</f>
        <v>2324</v>
      </c>
      <c r="S25" s="139" t="n">
        <v>12015</v>
      </c>
      <c r="T25" s="139" t="n">
        <v>7389</v>
      </c>
      <c r="U25" s="139" t="n">
        <v>9296</v>
      </c>
      <c r="V25" s="68"/>
    </row>
    <row r="27" customFormat="false" ht="15" hidden="false" customHeight="false" outlineLevel="0" collapsed="false">
      <c r="C27" s="40" t="s">
        <v>756</v>
      </c>
      <c r="E27" s="58" t="s">
        <v>757</v>
      </c>
      <c r="F27" s="40"/>
      <c r="G27" s="40"/>
      <c r="H27" s="115" t="n">
        <f aca="false">(H$8-$N$36)/365-0.125</f>
        <v>0.127054794520548</v>
      </c>
      <c r="I27" s="115" t="n">
        <f aca="false">(I$8-$N$36)/365-0.125</f>
        <v>0.379109589041096</v>
      </c>
      <c r="J27" s="115" t="n">
        <f aca="false">(J$8-$N$36)/365-0.125</f>
        <v>0.625684931506849</v>
      </c>
      <c r="K27" s="115" t="n">
        <f aca="false">(K$8-$N$36)/365-0.125</f>
        <v>0.875</v>
      </c>
      <c r="L27" s="115" t="n">
        <f aca="false">(L$8-$N$36)/365-0.125</f>
        <v>1.12705479452055</v>
      </c>
      <c r="M27" s="115" t="n">
        <f aca="false">(M$8-$N$36)/365-0.125</f>
        <v>1.3791095890411</v>
      </c>
      <c r="N27" s="115" t="n">
        <f aca="false">(N$8-$N$36)/365-0.125</f>
        <v>1.62842465753425</v>
      </c>
      <c r="O27" s="115" t="n">
        <f aca="false">(O$8-$N$36)/365-0.125</f>
        <v>1.8777397260274</v>
      </c>
      <c r="P27" s="115" t="n">
        <f aca="false">(P$8-$N$36)/365-0.125</f>
        <v>2.12979452054795</v>
      </c>
      <c r="Q27" s="115" t="n">
        <f aca="false">(Q$8-$N$36)/365-0.125</f>
        <v>2.38184931506849</v>
      </c>
      <c r="S27" s="68"/>
      <c r="T27" s="68"/>
      <c r="U27" s="68"/>
      <c r="V27" s="68"/>
    </row>
    <row r="28" customFormat="false" ht="15" hidden="false" customHeight="false" outlineLevel="0" collapsed="false">
      <c r="C28" s="46" t="s">
        <v>758</v>
      </c>
      <c r="F28" s="40"/>
      <c r="G28" s="40"/>
      <c r="H28" s="116" t="n">
        <f aca="false">1/(1+$N$40)^H27</f>
        <v>0.988093832569412</v>
      </c>
      <c r="I28" s="116" t="n">
        <f aca="false">1/(1+$N$40)^I27</f>
        <v>0.964891969622448</v>
      </c>
      <c r="J28" s="116" t="n">
        <f aca="false">1/(1+$N$40)^J27</f>
        <v>0.942721761418053</v>
      </c>
      <c r="K28" s="116" t="n">
        <f aca="false">1/(1+$N$40)^K27</f>
        <v>0.920823096962304</v>
      </c>
      <c r="L28" s="116" t="n">
        <f aca="false">1/(1+$N$40)^L27</f>
        <v>0.899200847546413</v>
      </c>
      <c r="M28" s="116" t="n">
        <f aca="false">1/(1+$N$40)^M27</f>
        <v>0.878086319615079</v>
      </c>
      <c r="N28" s="116" t="n">
        <f aca="false">1/(1+$N$40)^N27</f>
        <v>0.857689084223472</v>
      </c>
      <c r="O28" s="116" t="n">
        <f aca="false">1/(1+$N$40)^O27</f>
        <v>0.837765660121628</v>
      </c>
      <c r="P28" s="116" t="n">
        <f aca="false">1/(1+$N$40)^P27</f>
        <v>0.818093718665147</v>
      </c>
      <c r="Q28" s="116" t="n">
        <f aca="false">1/(1+$N$40)^Q27</f>
        <v>0.798883702660004</v>
      </c>
      <c r="S28" s="68"/>
      <c r="T28" s="68"/>
      <c r="U28" s="68"/>
      <c r="V28" s="68"/>
    </row>
    <row r="29" customFormat="false" ht="15" hidden="false" customHeight="false" outlineLevel="0" collapsed="false">
      <c r="C29" s="42" t="s">
        <v>759</v>
      </c>
      <c r="D29" s="112"/>
      <c r="E29" s="112"/>
      <c r="F29" s="73"/>
      <c r="G29" s="73"/>
      <c r="H29" s="64" t="n">
        <f aca="false">H24*H28</f>
        <v>1046.39136869101</v>
      </c>
      <c r="I29" s="64" t="n">
        <f aca="false">I24*I28</f>
        <v>1021.82059583017</v>
      </c>
      <c r="J29" s="64" t="n">
        <f aca="false">J24*J28</f>
        <v>1741.4427737795</v>
      </c>
      <c r="K29" s="64" t="n">
        <f aca="false">K24*K28</f>
        <v>1700.99046586362</v>
      </c>
      <c r="L29" s="64" t="n">
        <f aca="false">L24*L28</f>
        <v>1661.04876563011</v>
      </c>
      <c r="M29" s="64" t="n">
        <f aca="false">M24*M28</f>
        <v>1622.04495390895</v>
      </c>
      <c r="N29" s="64" t="n">
        <f aca="false">N24*N28</f>
        <v>1993.26943173535</v>
      </c>
      <c r="O29" s="64" t="n">
        <f aca="false">O24*O28</f>
        <v>1946.96739412266</v>
      </c>
      <c r="P29" s="64" t="n">
        <f aca="false">P24*P28</f>
        <v>1901.2498021778</v>
      </c>
      <c r="Q29" s="64" t="n">
        <f aca="false">Q24*Q28</f>
        <v>1856.60572498185</v>
      </c>
      <c r="S29" s="74"/>
      <c r="T29" s="74"/>
      <c r="U29" s="74"/>
      <c r="V29" s="74"/>
    </row>
    <row r="31" customFormat="false" ht="15" hidden="false" customHeight="false" outlineLevel="0" collapsed="false">
      <c r="C31" s="61" t="s">
        <v>775</v>
      </c>
      <c r="D31" s="61"/>
      <c r="E31" s="61"/>
      <c r="F31" s="61"/>
      <c r="G31" s="61"/>
      <c r="H31" s="61"/>
      <c r="I31" s="61"/>
      <c r="J31" s="61"/>
      <c r="K31" s="117" t="s">
        <v>870</v>
      </c>
      <c r="L31" s="117"/>
      <c r="M31" s="117"/>
      <c r="N31" s="117"/>
      <c r="O31" s="61"/>
      <c r="P31" s="61"/>
      <c r="Q31" s="61"/>
      <c r="R31" s="61"/>
      <c r="S31" s="61"/>
      <c r="T31" s="61"/>
      <c r="U31" s="61"/>
      <c r="V31" s="61"/>
    </row>
    <row r="32" customFormat="false" ht="15" hidden="false" customHeight="false" outlineLevel="0" collapsed="false">
      <c r="C32" s="40" t="s">
        <v>777</v>
      </c>
      <c r="E32" s="58" t="s">
        <v>778</v>
      </c>
      <c r="F32" s="52" t="n">
        <f aca="false">$N$42</f>
        <v>20</v>
      </c>
      <c r="K32" s="40" t="s">
        <v>779</v>
      </c>
      <c r="N32" s="134" t="str">
        <f aca="false">'Regular DCF'!N45</f>
        <v>GE Vernova Inc.</v>
      </c>
    </row>
    <row r="33" customFormat="false" ht="15" hidden="false" customHeight="false" outlineLevel="0" collapsed="false">
      <c r="C33" s="40" t="s">
        <v>781</v>
      </c>
      <c r="F33" s="41" t="n">
        <f aca="false">V14</f>
        <v>14638.4</v>
      </c>
      <c r="K33" s="40" t="s">
        <v>782</v>
      </c>
      <c r="N33" s="134" t="str">
        <f aca="false">'Regular DCF'!N46</f>
        <v>NYSE:GEV</v>
      </c>
    </row>
    <row r="34" customFormat="false" ht="15" hidden="false" customHeight="false" outlineLevel="0" collapsed="false">
      <c r="C34" s="40" t="s">
        <v>784</v>
      </c>
      <c r="F34" s="41" t="n">
        <f aca="false">F32*F33</f>
        <v>292768</v>
      </c>
      <c r="K34" s="40" t="s">
        <v>785</v>
      </c>
      <c r="N34" s="121" t="n">
        <f aca="false">'Regular DCF'!N47</f>
        <v>987.45</v>
      </c>
    </row>
    <row r="35" customFormat="false" ht="15" hidden="false" customHeight="false" outlineLevel="0" collapsed="false">
      <c r="C35" s="40" t="s">
        <v>786</v>
      </c>
      <c r="F35" s="119" t="n">
        <f aca="false">(Q$8-$N$36)/365</f>
        <v>2.50684931506849</v>
      </c>
      <c r="K35" s="40" t="s">
        <v>787</v>
      </c>
      <c r="N35" s="124" t="n">
        <f aca="false">'Regular DCF'!N48</f>
        <v>46296</v>
      </c>
    </row>
    <row r="36" customFormat="false" ht="15" hidden="false" customHeight="false" outlineLevel="0" collapsed="false">
      <c r="C36" s="40" t="s">
        <v>758</v>
      </c>
      <c r="F36" s="121" t="n">
        <f aca="false">1/(1+$N$40)^F35</f>
        <v>0.789524982059915</v>
      </c>
      <c r="K36" s="40" t="s">
        <v>788</v>
      </c>
      <c r="N36" s="124" t="n">
        <f aca="false">'Regular DCF'!N49</f>
        <v>46203</v>
      </c>
    </row>
    <row r="37" customFormat="false" ht="15" hidden="false" customHeight="false" outlineLevel="0" collapsed="false">
      <c r="C37" s="40" t="s">
        <v>789</v>
      </c>
      <c r="F37" s="41" t="n">
        <f aca="false">F34*F36</f>
        <v>231147.649947717</v>
      </c>
      <c r="K37" s="40" t="s">
        <v>790</v>
      </c>
      <c r="N37" s="78" t="n">
        <f aca="false">'Regular DCF'!N50</f>
        <v>266.333581</v>
      </c>
    </row>
    <row r="38" customFormat="false" ht="15" hidden="false" customHeight="false" outlineLevel="0" collapsed="false">
      <c r="C38" s="40" t="s">
        <v>791</v>
      </c>
      <c r="F38" s="41" t="n">
        <f aca="false">SUM(H29:Q29)</f>
        <v>16491.831276721</v>
      </c>
      <c r="K38" s="40" t="s">
        <v>792</v>
      </c>
      <c r="N38" s="78" t="n">
        <f aca="false">'Regular DCF'!N51</f>
        <v>2</v>
      </c>
    </row>
    <row r="39" customFormat="false" ht="15" hidden="false" customHeight="false" outlineLevel="0" collapsed="false">
      <c r="C39" s="42" t="s">
        <v>793</v>
      </c>
      <c r="D39" s="112"/>
      <c r="E39" s="112"/>
      <c r="F39" s="43" t="n">
        <f aca="false">F37+F38</f>
        <v>247639.481224438</v>
      </c>
      <c r="K39" s="40" t="s">
        <v>794</v>
      </c>
      <c r="N39" s="78" t="n">
        <f aca="false">'Regular DCF'!N52</f>
        <v>268.333581</v>
      </c>
    </row>
    <row r="40" customFormat="false" ht="15" hidden="false" customHeight="false" outlineLevel="0" collapsed="false">
      <c r="C40" s="46" t="s">
        <v>795</v>
      </c>
      <c r="F40" s="65" t="n">
        <f aca="false">F37/F39</f>
        <v>0.933403869224818</v>
      </c>
      <c r="K40" s="40" t="s">
        <v>796</v>
      </c>
      <c r="N40" s="47" t="n">
        <f aca="false">'Regular DCF'!N53</f>
        <v>0.0988577638305776</v>
      </c>
    </row>
    <row r="41" customFormat="false" ht="15" hidden="false" customHeight="false" outlineLevel="0" collapsed="false">
      <c r="C41" s="40" t="s">
        <v>797</v>
      </c>
      <c r="E41" s="58" t="s">
        <v>798</v>
      </c>
      <c r="F41" s="41" t="n">
        <f aca="false">'GEV Quarterly'!K333</f>
        <v>13120</v>
      </c>
      <c r="K41" s="40" t="s">
        <v>799</v>
      </c>
      <c r="N41" s="47" t="n">
        <f aca="false">'Regular DCF'!N54</f>
        <v>0.0997287275015211</v>
      </c>
    </row>
    <row r="42" customFormat="false" ht="15" hidden="false" customHeight="false" outlineLevel="0" collapsed="false">
      <c r="C42" s="40" t="s">
        <v>265</v>
      </c>
      <c r="F42" s="41" t="n">
        <f aca="false">-'GEV Quarterly'!K353</f>
        <v>-2794</v>
      </c>
      <c r="K42" s="40" t="s">
        <v>800</v>
      </c>
      <c r="N42" s="52" t="n">
        <f aca="false">'Key Drivers'!$J$115</f>
        <v>20</v>
      </c>
    </row>
    <row r="43" customFormat="false" ht="15" hidden="false" customHeight="false" outlineLevel="0" collapsed="false">
      <c r="C43" s="40" t="s">
        <v>277</v>
      </c>
      <c r="F43" s="41" t="n">
        <f aca="false">-'GEV Quarterly'!K365</f>
        <v>-1158</v>
      </c>
      <c r="K43" s="40" t="s">
        <v>801</v>
      </c>
      <c r="N43" s="41" t="n">
        <f aca="false">'Regular DCF'!N56</f>
        <v>262991.09455845</v>
      </c>
    </row>
    <row r="44" customFormat="false" ht="15" hidden="false" customHeight="false" outlineLevel="0" collapsed="false">
      <c r="C44" s="40" t="s">
        <v>802</v>
      </c>
      <c r="F44" s="41" t="n">
        <f aca="false">-'GEV Quarterly'!K355</f>
        <v>-2654</v>
      </c>
      <c r="K44" s="40" t="s">
        <v>803</v>
      </c>
      <c r="N44" s="41" t="n">
        <f aca="false">'Regular DCF'!N57</f>
        <v>255093.09455845</v>
      </c>
    </row>
    <row r="45" customFormat="false" ht="15" hidden="false" customHeight="false" outlineLevel="0" collapsed="false">
      <c r="C45" s="40" t="s">
        <v>804</v>
      </c>
      <c r="F45" s="41" t="n">
        <f aca="false">'GEV Quarterly'!K344</f>
        <v>1384</v>
      </c>
    </row>
    <row r="46" customFormat="false" ht="15" hidden="false" customHeight="false" outlineLevel="0" collapsed="false">
      <c r="C46" s="42" t="s">
        <v>805</v>
      </c>
      <c r="D46" s="112"/>
      <c r="E46" s="112"/>
      <c r="F46" s="43" t="n">
        <f aca="false">F39+SUM(F41:F45)</f>
        <v>255537.481224438</v>
      </c>
    </row>
    <row r="47" customFormat="false" ht="15" hidden="false" customHeight="false" outlineLevel="0" collapsed="false">
      <c r="C47" s="40" t="s">
        <v>794</v>
      </c>
      <c r="F47" s="78" t="n">
        <f aca="false">$N$39</f>
        <v>268.333581</v>
      </c>
    </row>
    <row r="49" customFormat="false" ht="15" hidden="false" customHeight="false" outlineLevel="0" collapsed="false">
      <c r="C49" s="61" t="s">
        <v>806</v>
      </c>
      <c r="D49" s="122"/>
      <c r="E49" s="122"/>
      <c r="F49" s="123" t="s">
        <v>807</v>
      </c>
      <c r="G49" s="123" t="s">
        <v>808</v>
      </c>
      <c r="H49" s="123" t="s">
        <v>809</v>
      </c>
    </row>
    <row r="50" customFormat="false" ht="15" hidden="false" customHeight="false" outlineLevel="0" collapsed="false">
      <c r="C50" s="40" t="s">
        <v>810</v>
      </c>
      <c r="F50" s="124" t="n">
        <f aca="false">$N$35</f>
        <v>46296</v>
      </c>
      <c r="G50" s="124" t="n">
        <f aca="false">EDATE($N$35,3)</f>
        <v>46388</v>
      </c>
      <c r="H50" s="124" t="n">
        <f aca="false">EDATE($N$35,6)</f>
        <v>46478</v>
      </c>
    </row>
    <row r="51" customFormat="false" ht="15" hidden="false" customHeight="false" outlineLevel="0" collapsed="false">
      <c r="C51" s="46" t="s">
        <v>811</v>
      </c>
      <c r="F51" s="125" t="n">
        <f aca="false">(1+$N$41)^((F50-$N$36)/365)</f>
        <v>1.0245173960519</v>
      </c>
      <c r="G51" s="125" t="n">
        <f aca="false">(1+$N$41)^((G50-$N$36)/365)</f>
        <v>1.04936255478858</v>
      </c>
      <c r="H51" s="125" t="n">
        <f aca="false">(1+$N$41)^((H50-$N$36)/365)</f>
        <v>1.07425050480109</v>
      </c>
    </row>
    <row r="52" customFormat="false" ht="15" hidden="false" customHeight="false" outlineLevel="0" collapsed="false">
      <c r="C52" s="42" t="s">
        <v>812</v>
      </c>
      <c r="D52" s="112"/>
      <c r="E52" s="112"/>
      <c r="F52" s="126" t="n">
        <f aca="false">$F$46*F51/$F$47</f>
        <v>975.660943673404</v>
      </c>
      <c r="G52" s="126" t="n">
        <f aca="false">$F$46*G51/$F$47</f>
        <v>999.321304260891</v>
      </c>
      <c r="H52" s="126" t="n">
        <f aca="false">$F$46*H51/$F$47</f>
        <v>1023.02241552447</v>
      </c>
    </row>
    <row r="53" customFormat="false" ht="15" hidden="false" customHeight="false" outlineLevel="0" collapsed="false">
      <c r="C53" s="40" t="s">
        <v>813</v>
      </c>
      <c r="F53" s="121" t="n">
        <f aca="false">$N$34</f>
        <v>987.45</v>
      </c>
      <c r="G53" s="121" t="n">
        <f aca="false">$N$34</f>
        <v>987.45</v>
      </c>
      <c r="H53" s="121" t="n">
        <f aca="false">$N$34</f>
        <v>987.45</v>
      </c>
    </row>
    <row r="54" customFormat="false" ht="15" hidden="false" customHeight="false" outlineLevel="0" collapsed="false">
      <c r="C54" s="48" t="s">
        <v>814</v>
      </c>
      <c r="F54" s="92" t="n">
        <f aca="false">F52/F53-1</f>
        <v>-0.011938889388421</v>
      </c>
      <c r="G54" s="92" t="n">
        <f aca="false">G52/G53-1</f>
        <v>0.0120221826531881</v>
      </c>
      <c r="H54" s="92" t="n">
        <f aca="false">H52/H53-1</f>
        <v>0.036024523291782</v>
      </c>
    </row>
    <row r="56" customFormat="false" ht="15" hidden="false" customHeight="false" outlineLevel="0" collapsed="false">
      <c r="C56" s="46" t="s">
        <v>815</v>
      </c>
      <c r="F56" s="65" t="n">
        <f aca="false">(F34*$N$40-U24)/(F34+U24)</f>
        <v>0.0650404874501779</v>
      </c>
    </row>
    <row r="57" customFormat="false" ht="15" hidden="false" customHeight="false" outlineLevel="0" collapsed="false">
      <c r="C57" s="46" t="s">
        <v>816</v>
      </c>
      <c r="F57" s="84" t="n">
        <f aca="false">F39/S14</f>
        <v>39.1524871501088</v>
      </c>
    </row>
    <row r="58" customFormat="false" ht="15" hidden="false" customHeight="false" outlineLevel="0" collapsed="false">
      <c r="C58" s="46" t="s">
        <v>817</v>
      </c>
      <c r="F58" s="84" t="n">
        <f aca="false">$N$44/S14</f>
        <v>40.3309240408617</v>
      </c>
    </row>
    <row r="59" customFormat="false" ht="15" hidden="false" customHeight="false" outlineLevel="0" collapsed="false">
      <c r="C59" s="46" t="s">
        <v>818</v>
      </c>
      <c r="F59" s="84" t="n">
        <f aca="false">F39/U14</f>
        <v>18.9471676529792</v>
      </c>
    </row>
    <row r="60" customFormat="false" ht="15" hidden="false" customHeight="false" outlineLevel="0" collapsed="false">
      <c r="C60" s="46" t="s">
        <v>819</v>
      </c>
      <c r="F60" s="84" t="n">
        <f aca="false">$N$44/U14</f>
        <v>19.5174517642272</v>
      </c>
    </row>
    <row r="62" customFormat="false" ht="15" hidden="false" customHeight="false" outlineLevel="0" collapsed="false">
      <c r="C62" s="48" t="s">
        <v>820</v>
      </c>
    </row>
    <row r="63" customFormat="false" ht="15" hidden="false" customHeight="false" outlineLevel="0" collapsed="false">
      <c r="E63" s="127" t="s">
        <v>821</v>
      </c>
      <c r="F63" s="128" t="n">
        <f aca="false">$N$42+-4</f>
        <v>16</v>
      </c>
      <c r="G63" s="128" t="n">
        <f aca="false">$N$42+-2</f>
        <v>18</v>
      </c>
      <c r="H63" s="128" t="n">
        <f aca="false">$N$42+0</f>
        <v>20</v>
      </c>
      <c r="I63" s="128" t="n">
        <f aca="false">$N$42+2</f>
        <v>22</v>
      </c>
      <c r="J63" s="128" t="n">
        <f aca="false">$N$42+4</f>
        <v>24</v>
      </c>
    </row>
    <row r="64" customFormat="false" ht="15" hidden="false" customHeight="false" outlineLevel="0" collapsed="false">
      <c r="E64" s="129" t="n">
        <f aca="false">$N$40+-0.02</f>
        <v>0.0788577638305776</v>
      </c>
      <c r="F64" s="121" t="n">
        <f aca="false">((SUMPRODUCT($H$24:$Q$24,(1+$E64)^(-$H$27:$Q$27))+F$63*$F$33*(1+$E64)^(-$F$35))+SUM($F$41:$F$45))*$H$51/$F$47</f>
        <v>874.518984451908</v>
      </c>
      <c r="G64" s="121" t="n">
        <f aca="false">((SUMPRODUCT($H$24:$Q$24,(1+$E64)^(-$H$27:$Q$27))+G$63*$F$33*(1+$E64)^(-$F$35))+SUM($F$41:$F$45))*$H$51/$F$47</f>
        <v>971.417669957929</v>
      </c>
      <c r="H64" s="121" t="n">
        <f aca="false">((SUMPRODUCT($H$24:$Q$24,(1+$E64)^(-$H$27:$Q$27))+H$63*$F$33*(1+$E64)^(-$F$35))+SUM($F$41:$F$45))*$H$51/$F$47</f>
        <v>1068.31635546395</v>
      </c>
      <c r="I64" s="121" t="n">
        <f aca="false">((SUMPRODUCT($H$24:$Q$24,(1+$E64)^(-$H$27:$Q$27))+I$63*$F$33*(1+$E64)^(-$F$35))+SUM($F$41:$F$45))*$H$51/$F$47</f>
        <v>1165.21504096997</v>
      </c>
      <c r="J64" s="121" t="n">
        <f aca="false">((SUMPRODUCT($H$24:$Q$24,(1+$E64)^(-$H$27:$Q$27))+J$63*$F$33*(1+$E64)^(-$F$35))+SUM($F$41:$F$45))*$H$51/$F$47</f>
        <v>1262.11372647599</v>
      </c>
    </row>
    <row r="65" customFormat="false" ht="15" hidden="false" customHeight="false" outlineLevel="0" collapsed="false">
      <c r="E65" s="129" t="n">
        <f aca="false">$N$40+-0.01</f>
        <v>0.0888577638305776</v>
      </c>
      <c r="F65" s="121" t="n">
        <f aca="false">((SUMPRODUCT($H$24:$Q$24,(1+$E65)^(-$H$27:$Q$27))+F$63*$F$33*(1+$E65)^(-$F$35))+SUM($F$41:$F$45))*$H$51/$F$47</f>
        <v>855.941330846144</v>
      </c>
      <c r="G65" s="121" t="n">
        <f aca="false">((SUMPRODUCT($H$24:$Q$24,(1+$E65)^(-$H$27:$Q$27))+G$63*$F$33*(1+$E65)^(-$F$35))+SUM($F$41:$F$45))*$H$51/$F$47</f>
        <v>950.624555094012</v>
      </c>
      <c r="H65" s="121" t="n">
        <f aca="false">((SUMPRODUCT($H$24:$Q$24,(1+$E65)^(-$H$27:$Q$27))+H$63*$F$33*(1+$E65)^(-$F$35))+SUM($F$41:$F$45))*$H$51/$F$47</f>
        <v>1045.30777934188</v>
      </c>
      <c r="I65" s="121" t="n">
        <f aca="false">((SUMPRODUCT($H$24:$Q$24,(1+$E65)^(-$H$27:$Q$27))+I$63*$F$33*(1+$E65)^(-$F$35))+SUM($F$41:$F$45))*$H$51/$F$47</f>
        <v>1139.99100358975</v>
      </c>
      <c r="J65" s="121" t="n">
        <f aca="false">((SUMPRODUCT($H$24:$Q$24,(1+$E65)^(-$H$27:$Q$27))+J$63*$F$33*(1+$E65)^(-$F$35))+SUM($F$41:$F$45))*$H$51/$F$47</f>
        <v>1234.67422783762</v>
      </c>
    </row>
    <row r="66" customFormat="false" ht="15" hidden="false" customHeight="false" outlineLevel="0" collapsed="false">
      <c r="E66" s="129" t="n">
        <f aca="false">$N$40+0</f>
        <v>0.0988577638305776</v>
      </c>
      <c r="F66" s="121" t="n">
        <f aca="false">((SUMPRODUCT($H$24:$Q$24,(1+$E66)^(-$H$27:$Q$27))+F$63*$F$33*(1+$E66)^(-$F$35))+SUM($F$41:$F$45))*$H$51/$F$47</f>
        <v>837.946452453027</v>
      </c>
      <c r="G66" s="121" t="n">
        <f aca="false">((SUMPRODUCT($H$24:$Q$24,(1+$E66)^(-$H$27:$Q$27))+G$63*$F$33*(1+$E66)^(-$F$35))+SUM($F$41:$F$45))*$H$51/$F$47</f>
        <v>930.484433988749</v>
      </c>
      <c r="H66" s="130" t="n">
        <f aca="false">((SUMPRODUCT($H$24:$Q$24,(1+$E66)^(-$H$27:$Q$27))+H$63*$F$33*(1+$E66)^(-$F$35))+SUM($F$41:$F$45))*$H$51/$F$47</f>
        <v>1023.02241552447</v>
      </c>
      <c r="I66" s="121" t="n">
        <f aca="false">((SUMPRODUCT($H$24:$Q$24,(1+$E66)^(-$H$27:$Q$27))+I$63*$F$33*(1+$E66)^(-$F$35))+SUM($F$41:$F$45))*$H$51/$F$47</f>
        <v>1115.56039706019</v>
      </c>
      <c r="J66" s="121" t="n">
        <f aca="false">((SUMPRODUCT($H$24:$Q$24,(1+$E66)^(-$H$27:$Q$27))+J$63*$F$33*(1+$E66)^(-$F$35))+SUM($F$41:$F$45))*$H$51/$F$47</f>
        <v>1208.09837859591</v>
      </c>
    </row>
    <row r="67" customFormat="false" ht="15" hidden="false" customHeight="false" outlineLevel="0" collapsed="false">
      <c r="E67" s="129" t="n">
        <f aca="false">$N$40+0.01</f>
        <v>0.108857763830578</v>
      </c>
      <c r="F67" s="121" t="n">
        <f aca="false">((SUMPRODUCT($H$24:$Q$24,(1+$E67)^(-$H$27:$Q$27))+F$63*$F$33*(1+$E67)^(-$F$35))+SUM($F$41:$F$45))*$H$51/$F$47</f>
        <v>820.510949723721</v>
      </c>
      <c r="G67" s="121" t="n">
        <f aca="false">((SUMPRODUCT($H$24:$Q$24,(1+$E67)^(-$H$27:$Q$27))+G$63*$F$33*(1+$E67)^(-$F$35))+SUM($F$41:$F$45))*$H$51/$F$47</f>
        <v>910.971072546989</v>
      </c>
      <c r="H67" s="121" t="n">
        <f aca="false">((SUMPRODUCT($H$24:$Q$24,(1+$E67)^(-$H$27:$Q$27))+H$63*$F$33*(1+$E67)^(-$F$35))+SUM($F$41:$F$45))*$H$51/$F$47</f>
        <v>1001.43119537026</v>
      </c>
      <c r="I67" s="121" t="n">
        <f aca="false">((SUMPRODUCT($H$24:$Q$24,(1+$E67)^(-$H$27:$Q$27))+I$63*$F$33*(1+$E67)^(-$F$35))+SUM($F$41:$F$45))*$H$51/$F$47</f>
        <v>1091.89131819352</v>
      </c>
      <c r="J67" s="121" t="n">
        <f aca="false">((SUMPRODUCT($H$24:$Q$24,(1+$E67)^(-$H$27:$Q$27))+J$63*$F$33*(1+$E67)^(-$F$35))+SUM($F$41:$F$45))*$H$51/$F$47</f>
        <v>1182.35144101679</v>
      </c>
    </row>
    <row r="68" customFormat="false" ht="15" hidden="false" customHeight="false" outlineLevel="0" collapsed="false">
      <c r="E68" s="129" t="n">
        <f aca="false">$N$40+0.02</f>
        <v>0.118857763830578</v>
      </c>
      <c r="F68" s="121" t="n">
        <f aca="false">((SUMPRODUCT($H$24:$Q$24,(1+$E68)^(-$H$27:$Q$27))+F$63*$F$33*(1+$E68)^(-$F$35))+SUM($F$41:$F$45))*$H$51/$F$47</f>
        <v>803.612563174794</v>
      </c>
      <c r="G68" s="121" t="n">
        <f aca="false">((SUMPRODUCT($H$24:$Q$24,(1+$E68)^(-$H$27:$Q$27))+G$63*$F$33*(1+$E68)^(-$F$35))+SUM($F$41:$F$45))*$H$51/$F$47</f>
        <v>892.059515308763</v>
      </c>
      <c r="H68" s="121" t="n">
        <f aca="false">((SUMPRODUCT($H$24:$Q$24,(1+$E68)^(-$H$27:$Q$27))+H$63*$F$33*(1+$E68)^(-$F$35))+SUM($F$41:$F$45))*$H$51/$F$47</f>
        <v>980.506467442733</v>
      </c>
      <c r="I68" s="121" t="n">
        <f aca="false">((SUMPRODUCT($H$24:$Q$24,(1+$E68)^(-$H$27:$Q$27))+I$63*$F$33*(1+$E68)^(-$F$35))+SUM($F$41:$F$45))*$H$51/$F$47</f>
        <v>1068.9534195767</v>
      </c>
      <c r="J68" s="121" t="n">
        <f aca="false">((SUMPRODUCT($H$24:$Q$24,(1+$E68)^(-$H$27:$Q$27))+J$63*$F$33*(1+$E68)^(-$F$35))+SUM($F$41:$F$45))*$H$51/$F$47</f>
        <v>1157.40037171067</v>
      </c>
    </row>
    <row r="70" customFormat="false" ht="15" hidden="false" customHeight="false" outlineLevel="0" collapsed="false">
      <c r="C70" s="40" t="s">
        <v>885</v>
      </c>
      <c r="F70" s="109" t="n">
        <v>1237</v>
      </c>
    </row>
    <row r="71" customFormat="false" ht="15" hidden="false" customHeight="false" outlineLevel="0" collapsed="false">
      <c r="C71" s="46" t="s">
        <v>886</v>
      </c>
      <c r="F71" s="65" t="n">
        <f aca="false">H52/F70-1</f>
        <v>-0.172981070715869</v>
      </c>
    </row>
    <row r="72" customFormat="false" ht="15" hidden="false" customHeight="false" outlineLevel="0" collapsed="false">
      <c r="C72" s="46" t="s">
        <v>887</v>
      </c>
      <c r="F72" s="84" t="n">
        <f aca="false">((F70*F47/H51-SUM(F41:F45))-F38)/(F36*F33)</f>
        <v>24.6246434366613</v>
      </c>
    </row>
  </sheetData>
  <mergeCells count="3">
    <mergeCell ref="F6:G6"/>
    <mergeCell ref="H6:Q6"/>
    <mergeCell ref="S6:V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5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7"/>
    <col collapsed="false" customWidth="true" hidden="false" outlineLevel="0" max="3" min="3" style="0" width="40"/>
    <col collapsed="false" customWidth="true" hidden="false" outlineLevel="0" max="4" min="4" style="0" width="15"/>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14"/>
    <col collapsed="false" customWidth="true" hidden="false" outlineLevel="0" max="9" min="9" style="0" width="17"/>
    <col collapsed="false" customWidth="true" hidden="false" outlineLevel="0" max="10" min="10" style="0" width="14"/>
    <col collapsed="false" customWidth="true" hidden="false" outlineLevel="0" max="11" min="11" style="0" width="15"/>
    <col collapsed="false" customWidth="true" hidden="false" outlineLevel="0" max="12" min="12" style="0" width="2.5"/>
    <col collapsed="false" customWidth="true" hidden="false" outlineLevel="0" max="13" min="13" style="0" width="50"/>
  </cols>
  <sheetData>
    <row r="2" customFormat="false" ht="17.35" hidden="false" customHeight="false" outlineLevel="0" collapsed="false">
      <c r="C2" s="55" t="s">
        <v>409</v>
      </c>
    </row>
    <row r="3" customFormat="false" ht="15" hidden="false" customHeight="false" outlineLevel="0" collapsed="false">
      <c r="C3" s="56" t="s">
        <v>796</v>
      </c>
    </row>
    <row r="4" customFormat="false" ht="15" hidden="false" customHeight="false" outlineLevel="0" collapsed="false">
      <c r="C4" s="56" t="s">
        <v>888</v>
      </c>
    </row>
    <row r="8" customFormat="false" ht="15" hidden="false" customHeight="false" outlineLevel="0" collapsed="false">
      <c r="C8" s="61" t="s">
        <v>889</v>
      </c>
      <c r="D8" s="61"/>
      <c r="E8" s="61"/>
      <c r="F8" s="61"/>
      <c r="G8" s="61"/>
      <c r="H8" s="61"/>
      <c r="I8" s="61"/>
      <c r="J8" s="61"/>
      <c r="K8" s="61"/>
    </row>
    <row r="9" customFormat="false" ht="15" hidden="false" customHeight="false" outlineLevel="0" collapsed="false">
      <c r="C9" s="58" t="s">
        <v>890</v>
      </c>
    </row>
    <row r="10" customFormat="false" ht="15" hidden="false" customHeight="false" outlineLevel="0" collapsed="false">
      <c r="C10" s="34" t="s">
        <v>779</v>
      </c>
      <c r="D10" s="34" t="s">
        <v>782</v>
      </c>
      <c r="E10" s="35" t="s">
        <v>891</v>
      </c>
      <c r="F10" s="35" t="s">
        <v>892</v>
      </c>
      <c r="G10" s="35" t="s">
        <v>838</v>
      </c>
      <c r="H10" s="35" t="s">
        <v>893</v>
      </c>
      <c r="I10" s="35" t="s">
        <v>894</v>
      </c>
      <c r="J10" s="35" t="s">
        <v>895</v>
      </c>
      <c r="K10" s="35" t="s">
        <v>896</v>
      </c>
    </row>
    <row r="11" customFormat="false" ht="15" hidden="false" customHeight="false" outlineLevel="0" collapsed="false">
      <c r="C11" s="40" t="s">
        <v>897</v>
      </c>
      <c r="D11" s="40" t="s">
        <v>898</v>
      </c>
      <c r="E11" s="134" t="s">
        <v>899</v>
      </c>
      <c r="F11" s="140" t="n">
        <v>1.87</v>
      </c>
      <c r="G11" s="100" t="n">
        <v>0.3</v>
      </c>
      <c r="H11" s="141" t="n">
        <v>2.96</v>
      </c>
      <c r="I11" s="141" t="n">
        <v>120.5</v>
      </c>
      <c r="J11" s="47" t="n">
        <f aca="false">H11/I11</f>
        <v>0.0245643153526971</v>
      </c>
      <c r="K11" s="142" t="n">
        <f aca="false">F11/(1+J11*(1-G11))</f>
        <v>1.83838886531998</v>
      </c>
    </row>
    <row r="12" customFormat="false" ht="15" hidden="false" customHeight="false" outlineLevel="0" collapsed="false">
      <c r="C12" s="40" t="s">
        <v>900</v>
      </c>
      <c r="D12" s="40" t="s">
        <v>901</v>
      </c>
      <c r="E12" s="134" t="s">
        <v>902</v>
      </c>
      <c r="F12" s="140" t="n">
        <v>0.37</v>
      </c>
      <c r="G12" s="100" t="n">
        <v>0.3</v>
      </c>
      <c r="H12" s="141" t="n">
        <v>853.82</v>
      </c>
      <c r="I12" s="141" t="n">
        <v>12640</v>
      </c>
      <c r="J12" s="47" t="n">
        <f aca="false">H12/I12</f>
        <v>0.0675490506329114</v>
      </c>
      <c r="K12" s="142" t="n">
        <f aca="false">F12/(1+J12*(1-G12))</f>
        <v>0.353294695125443</v>
      </c>
    </row>
    <row r="13" customFormat="false" ht="15" hidden="false" customHeight="false" outlineLevel="0" collapsed="false">
      <c r="C13" s="40" t="s">
        <v>903</v>
      </c>
      <c r="D13" s="40" t="s">
        <v>904</v>
      </c>
      <c r="E13" s="134" t="s">
        <v>905</v>
      </c>
      <c r="F13" s="140" t="n">
        <v>1.35</v>
      </c>
      <c r="G13" s="100" t="n">
        <v>0.25</v>
      </c>
      <c r="H13" s="141" t="n">
        <v>20.23</v>
      </c>
      <c r="I13" s="141" t="n">
        <v>324.12</v>
      </c>
      <c r="J13" s="47" t="n">
        <f aca="false">H13/I13</f>
        <v>0.0624151548809083</v>
      </c>
      <c r="K13" s="142" t="n">
        <f aca="false">F13/(1+J13*(1-G13))</f>
        <v>1.28963062844006</v>
      </c>
    </row>
    <row r="14" customFormat="false" ht="15" hidden="false" customHeight="false" outlineLevel="0" collapsed="false">
      <c r="C14" s="40" t="s">
        <v>906</v>
      </c>
      <c r="D14" s="40" t="s">
        <v>907</v>
      </c>
      <c r="E14" s="134" t="s">
        <v>905</v>
      </c>
      <c r="F14" s="140" t="n">
        <v>1.13</v>
      </c>
      <c r="G14" s="100" t="n">
        <v>0.25</v>
      </c>
      <c r="H14" s="141" t="n">
        <v>21.33</v>
      </c>
      <c r="I14" s="141" t="n">
        <v>169.84</v>
      </c>
      <c r="J14" s="47" t="n">
        <f aca="false">H14/I14</f>
        <v>0.125588789448893</v>
      </c>
      <c r="K14" s="142" t="n">
        <f aca="false">F14/(1+J14*(1-G14))</f>
        <v>1.03272590300666</v>
      </c>
    </row>
    <row r="15" customFormat="false" ht="15" hidden="false" customHeight="false" outlineLevel="0" collapsed="false">
      <c r="C15" s="40" t="s">
        <v>908</v>
      </c>
      <c r="D15" s="40" t="s">
        <v>909</v>
      </c>
      <c r="E15" s="134" t="s">
        <v>899</v>
      </c>
      <c r="F15" s="140" t="n">
        <v>1.15</v>
      </c>
      <c r="G15" s="100" t="n">
        <v>0.25</v>
      </c>
      <c r="H15" s="141" t="n">
        <v>20.81</v>
      </c>
      <c r="I15" s="141" t="n">
        <v>164.2</v>
      </c>
      <c r="J15" s="47" t="n">
        <f aca="false">H15/I15</f>
        <v>0.12673568818514</v>
      </c>
      <c r="K15" s="142" t="n">
        <f aca="false">F15/(1+J15*(1-G15))</f>
        <v>1.05017866329269</v>
      </c>
    </row>
    <row r="16" customFormat="false" ht="15" hidden="false" customHeight="false" outlineLevel="0" collapsed="false">
      <c r="C16" s="40" t="s">
        <v>910</v>
      </c>
      <c r="D16" s="40" t="s">
        <v>911</v>
      </c>
      <c r="E16" s="134" t="s">
        <v>912</v>
      </c>
      <c r="F16" s="140" t="n">
        <v>1.01</v>
      </c>
      <c r="G16" s="100" t="n">
        <v>0.2</v>
      </c>
      <c r="H16" s="141" t="n">
        <v>7.39</v>
      </c>
      <c r="I16" s="141" t="n">
        <v>146.61</v>
      </c>
      <c r="J16" s="47" t="n">
        <f aca="false">H16/I16</f>
        <v>0.0504058386194666</v>
      </c>
      <c r="K16" s="142" t="n">
        <f aca="false">F16/(1+J16*(1-G16))</f>
        <v>0.970850762512949</v>
      </c>
    </row>
    <row r="17" customFormat="false" ht="15" hidden="false" customHeight="false" outlineLevel="0" collapsed="false">
      <c r="C17" s="40" t="s">
        <v>913</v>
      </c>
      <c r="D17" s="40" t="s">
        <v>914</v>
      </c>
      <c r="E17" s="134" t="s">
        <v>902</v>
      </c>
      <c r="F17" s="140" t="n">
        <v>0.54</v>
      </c>
      <c r="G17" s="100" t="n">
        <v>0.3</v>
      </c>
      <c r="H17" s="141" t="n">
        <v>1060</v>
      </c>
      <c r="I17" s="141" t="n">
        <v>24710</v>
      </c>
      <c r="J17" s="47" t="n">
        <f aca="false">H17/I17</f>
        <v>0.0428976123027115</v>
      </c>
      <c r="K17" s="142" t="n">
        <f aca="false">F17/(1+J17*(1-G17))</f>
        <v>0.524257425742574</v>
      </c>
    </row>
    <row r="18" customFormat="false" ht="15" hidden="false" customHeight="false" outlineLevel="0" collapsed="false">
      <c r="C18" s="40" t="s">
        <v>915</v>
      </c>
      <c r="D18" s="40" t="s">
        <v>916</v>
      </c>
      <c r="E18" s="134" t="s">
        <v>905</v>
      </c>
      <c r="F18" s="140" t="n">
        <v>0.89</v>
      </c>
      <c r="G18" s="100" t="n">
        <v>0.25</v>
      </c>
      <c r="H18" s="141" t="n">
        <v>5.56</v>
      </c>
      <c r="I18" s="141" t="n">
        <v>24.67</v>
      </c>
      <c r="J18" s="47" t="n">
        <f aca="false">H18/I18</f>
        <v>0.225374949331171</v>
      </c>
      <c r="K18" s="142" t="n">
        <f aca="false">F18/(1+J18*(1-G18))</f>
        <v>0.761314147018031</v>
      </c>
    </row>
    <row r="19" customFormat="false" ht="15" hidden="false" customHeight="false" outlineLevel="0" collapsed="false">
      <c r="C19" s="40" t="s">
        <v>917</v>
      </c>
      <c r="D19" s="40" t="s">
        <v>918</v>
      </c>
      <c r="E19" s="134" t="s">
        <v>905</v>
      </c>
      <c r="F19" s="140" t="n">
        <v>2.07</v>
      </c>
      <c r="G19" s="100" t="n">
        <v>0.25</v>
      </c>
      <c r="H19" s="141" t="n">
        <v>3.34</v>
      </c>
      <c r="I19" s="141" t="n">
        <v>94.75</v>
      </c>
      <c r="J19" s="47" t="n">
        <f aca="false">H19/I19</f>
        <v>0.0352506596306069</v>
      </c>
      <c r="K19" s="142" t="n">
        <f aca="false">F19/(1+J19*(1-G19))</f>
        <v>2.01668294689219</v>
      </c>
    </row>
    <row r="20" customFormat="false" ht="15" hidden="false" customHeight="false" outlineLevel="0" collapsed="false">
      <c r="C20" s="40" t="s">
        <v>919</v>
      </c>
      <c r="D20" s="40" t="s">
        <v>920</v>
      </c>
      <c r="E20" s="134" t="s">
        <v>905</v>
      </c>
      <c r="F20" s="140" t="n">
        <v>1.23</v>
      </c>
      <c r="G20" s="100" t="n">
        <v>0.25</v>
      </c>
      <c r="H20" s="141" t="n">
        <v>13.8</v>
      </c>
      <c r="I20" s="141" t="n">
        <v>88.45</v>
      </c>
      <c r="J20" s="47" t="n">
        <f aca="false">H20/I20</f>
        <v>0.156020350480497</v>
      </c>
      <c r="K20" s="142" t="n">
        <f aca="false">F20/(1+J20*(1-G20))</f>
        <v>1.1011487854251</v>
      </c>
    </row>
    <row r="21" customFormat="false" ht="15" hidden="false" customHeight="false" outlineLevel="0" collapsed="false">
      <c r="C21" s="40" t="s">
        <v>921</v>
      </c>
      <c r="D21" s="40" t="s">
        <v>922</v>
      </c>
      <c r="E21" s="134" t="s">
        <v>905</v>
      </c>
      <c r="F21" s="140" t="n">
        <v>1.27</v>
      </c>
      <c r="G21" s="100" t="n">
        <v>0.25</v>
      </c>
      <c r="H21" s="141" t="n">
        <v>6.6</v>
      </c>
      <c r="I21" s="141" t="n">
        <v>99.62</v>
      </c>
      <c r="J21" s="47" t="n">
        <f aca="false">H21/I21</f>
        <v>0.0662517566753664</v>
      </c>
      <c r="K21" s="142" t="n">
        <f aca="false">F21/(1+J21*(1-G21))</f>
        <v>1.20988237544229</v>
      </c>
    </row>
    <row r="23" customFormat="false" ht="15" hidden="false" customHeight="false" outlineLevel="0" collapsed="false">
      <c r="C23" s="42" t="s">
        <v>923</v>
      </c>
      <c r="D23" s="112"/>
      <c r="E23" s="112"/>
      <c r="F23" s="143" t="n">
        <f aca="false">MEDIAN(F11:F21)</f>
        <v>1.15</v>
      </c>
      <c r="G23" s="104" t="n">
        <f aca="false">MEDIAN(G11:G21)</f>
        <v>0.25</v>
      </c>
      <c r="H23" s="112"/>
      <c r="I23" s="112"/>
      <c r="J23" s="104" t="n">
        <f aca="false">MEDIAN(J11:J21)</f>
        <v>0.0662517566753664</v>
      </c>
      <c r="K23" s="143" t="n">
        <f aca="false">MEDIAN(K11:K21)</f>
        <v>1.05017866329269</v>
      </c>
    </row>
    <row r="24" customFormat="false" ht="15" hidden="false" customHeight="false" outlineLevel="0" collapsed="false">
      <c r="C24" s="48" t="s">
        <v>924</v>
      </c>
      <c r="F24" s="144" t="n">
        <f aca="false">AVERAGE(F11:F21)</f>
        <v>1.17090909090909</v>
      </c>
      <c r="G24" s="49" t="n">
        <f aca="false">AVERAGE(G11:G21)</f>
        <v>0.259090909090909</v>
      </c>
      <c r="J24" s="49" t="n">
        <f aca="false">AVERAGE(J11:J21)</f>
        <v>0.08936856050367</v>
      </c>
      <c r="K24" s="144" t="n">
        <f aca="false">AVERAGE(K11:K21)</f>
        <v>1.10439592711072</v>
      </c>
    </row>
    <row r="26" customFormat="false" ht="15" hidden="false" customHeight="false" outlineLevel="0" collapsed="false">
      <c r="C26" s="48" t="s">
        <v>925</v>
      </c>
      <c r="D26" s="40" t="s">
        <v>783</v>
      </c>
      <c r="E26" s="134" t="s">
        <v>905</v>
      </c>
      <c r="F26" s="140" t="n">
        <v>0.97</v>
      </c>
      <c r="G26" s="47" t="n">
        <f aca="false">'Key Drivers'!$H$124</f>
        <v>0.25</v>
      </c>
      <c r="H26" s="145" t="n">
        <f aca="false">E48/1000</f>
        <v>3.72</v>
      </c>
      <c r="I26" s="145" t="n">
        <f aca="false">E46/1000</f>
        <v>262.99109455845</v>
      </c>
      <c r="J26" s="47" t="n">
        <f aca="false">H26/I26</f>
        <v>0.0141449656546193</v>
      </c>
      <c r="K26" s="146" t="n">
        <f aca="false">K23*(1+J26*(1-G26))</f>
        <v>1.0613197191353</v>
      </c>
    </row>
    <row r="29" customFormat="false" ht="15" hidden="false" customHeight="false" outlineLevel="0" collapsed="false">
      <c r="C29" s="61" t="s">
        <v>799</v>
      </c>
      <c r="D29" s="61"/>
      <c r="E29" s="61"/>
      <c r="F29" s="61"/>
      <c r="G29" s="61"/>
      <c r="H29" s="61"/>
      <c r="I29" s="61"/>
      <c r="J29" s="61"/>
      <c r="K29" s="61"/>
    </row>
    <row r="30" customFormat="false" ht="15" hidden="false" customHeight="false" outlineLevel="0" collapsed="false">
      <c r="C30" s="40" t="s">
        <v>926</v>
      </c>
      <c r="E30" s="103" t="n">
        <v>0.0525</v>
      </c>
    </row>
    <row r="31" customFormat="false" ht="15" hidden="false" customHeight="false" outlineLevel="0" collapsed="false">
      <c r="C31" s="40" t="s">
        <v>927</v>
      </c>
      <c r="E31" s="103" t="n">
        <v>0.0445</v>
      </c>
    </row>
    <row r="32" customFormat="false" ht="15" hidden="false" customHeight="false" outlineLevel="0" collapsed="false">
      <c r="C32" s="40" t="s">
        <v>928</v>
      </c>
      <c r="E32" s="142" t="n">
        <f aca="false">K26</f>
        <v>1.0613197191353</v>
      </c>
    </row>
    <row r="33" customFormat="false" ht="15" hidden="false" customHeight="false" outlineLevel="0" collapsed="false">
      <c r="C33" s="48" t="s">
        <v>799</v>
      </c>
      <c r="E33" s="147" t="n">
        <f aca="false">E30+E32*E31</f>
        <v>0.0997287275015211</v>
      </c>
    </row>
    <row r="34" customFormat="false" ht="15" hidden="false" customHeight="false" outlineLevel="0" collapsed="false">
      <c r="C34" s="46" t="s">
        <v>929</v>
      </c>
      <c r="E34" s="101" t="n">
        <f aca="false">E30+F26*E31</f>
        <v>0.095665</v>
      </c>
    </row>
    <row r="36" customFormat="false" ht="15" hidden="false" customHeight="false" outlineLevel="0" collapsed="false">
      <c r="C36" s="61" t="s">
        <v>930</v>
      </c>
      <c r="D36" s="61"/>
      <c r="E36" s="61"/>
      <c r="F36" s="61"/>
      <c r="G36" s="61"/>
      <c r="H36" s="61"/>
      <c r="I36" s="61"/>
      <c r="J36" s="61"/>
      <c r="K36" s="61"/>
    </row>
    <row r="37" customFormat="false" ht="15" hidden="false" customHeight="false" outlineLevel="0" collapsed="false">
      <c r="C37" s="34" t="s">
        <v>931</v>
      </c>
      <c r="D37" s="35" t="s">
        <v>932</v>
      </c>
      <c r="E37" s="35" t="s">
        <v>933</v>
      </c>
    </row>
    <row r="38" customFormat="false" ht="15" hidden="false" customHeight="false" outlineLevel="0" collapsed="false">
      <c r="C38" s="40" t="s">
        <v>934</v>
      </c>
      <c r="D38" s="91" t="n">
        <v>600</v>
      </c>
      <c r="E38" s="148" t="n">
        <v>0.0425</v>
      </c>
    </row>
    <row r="39" customFormat="false" ht="15" hidden="false" customHeight="false" outlineLevel="0" collapsed="false">
      <c r="C39" s="40" t="s">
        <v>935</v>
      </c>
      <c r="D39" s="91" t="n">
        <v>1000</v>
      </c>
      <c r="E39" s="148" t="n">
        <v>0.04875</v>
      </c>
    </row>
    <row r="40" customFormat="false" ht="15" hidden="false" customHeight="false" outlineLevel="0" collapsed="false">
      <c r="C40" s="40" t="s">
        <v>936</v>
      </c>
      <c r="D40" s="91" t="n">
        <v>1000</v>
      </c>
      <c r="E40" s="148" t="n">
        <v>0.055</v>
      </c>
    </row>
    <row r="41" customFormat="false" ht="15" hidden="false" customHeight="false" outlineLevel="0" collapsed="false">
      <c r="C41" s="48" t="s">
        <v>937</v>
      </c>
      <c r="E41" s="147" t="n">
        <f aca="false">SUMPRODUCT(D38:D40,E38:E40)/SUM(D38:D40)</f>
        <v>0.0497115384615385</v>
      </c>
    </row>
    <row r="42" customFormat="false" ht="15" hidden="false" customHeight="false" outlineLevel="0" collapsed="false">
      <c r="C42" s="40" t="s">
        <v>838</v>
      </c>
      <c r="E42" s="47" t="n">
        <f aca="false">'Key Drivers'!$H$124</f>
        <v>0.25</v>
      </c>
    </row>
    <row r="43" customFormat="false" ht="15" hidden="false" customHeight="false" outlineLevel="0" collapsed="false">
      <c r="C43" s="48" t="s">
        <v>938</v>
      </c>
      <c r="E43" s="75" t="n">
        <f aca="false">E41*(1-E42)</f>
        <v>0.0372836538461538</v>
      </c>
    </row>
    <row r="45" customFormat="false" ht="15" hidden="false" customHeight="false" outlineLevel="0" collapsed="false">
      <c r="C45" s="61" t="s">
        <v>939</v>
      </c>
      <c r="D45" s="61"/>
      <c r="E45" s="61"/>
      <c r="F45" s="61"/>
      <c r="G45" s="61"/>
      <c r="H45" s="61"/>
      <c r="I45" s="61"/>
      <c r="J45" s="61"/>
      <c r="K45" s="61"/>
    </row>
    <row r="46" customFormat="false" ht="15" hidden="false" customHeight="false" outlineLevel="0" collapsed="false">
      <c r="C46" s="40" t="s">
        <v>940</v>
      </c>
      <c r="E46" s="41" t="n">
        <f aca="false">'Regular DCF'!$N$56</f>
        <v>262991.09455845</v>
      </c>
    </row>
    <row r="47" customFormat="false" ht="15" hidden="false" customHeight="false" outlineLevel="0" collapsed="false">
      <c r="C47" s="40" t="s">
        <v>941</v>
      </c>
      <c r="E47" s="47" t="n">
        <f aca="false">E46/E50</f>
        <v>0.986052323746942</v>
      </c>
    </row>
    <row r="48" customFormat="false" ht="15" hidden="false" customHeight="false" outlineLevel="0" collapsed="false">
      <c r="C48" s="40" t="s">
        <v>942</v>
      </c>
      <c r="E48" s="91" t="n">
        <v>3720</v>
      </c>
    </row>
    <row r="49" customFormat="false" ht="15" hidden="false" customHeight="false" outlineLevel="0" collapsed="false">
      <c r="C49" s="40" t="s">
        <v>943</v>
      </c>
      <c r="E49" s="47" t="n">
        <f aca="false">E48/E50</f>
        <v>0.013947676253058</v>
      </c>
    </row>
    <row r="50" customFormat="false" ht="15" hidden="false" customHeight="false" outlineLevel="0" collapsed="false">
      <c r="C50" s="48" t="s">
        <v>944</v>
      </c>
      <c r="E50" s="43" t="n">
        <f aca="false">E46+E48</f>
        <v>266711.09455845</v>
      </c>
    </row>
    <row r="52" customFormat="false" ht="15" hidden="false" customHeight="false" outlineLevel="0" collapsed="false">
      <c r="C52" s="48" t="s">
        <v>796</v>
      </c>
      <c r="E52" s="149" t="n">
        <f aca="false">E47*E33+E49*E43</f>
        <v>0.0988577638305776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2026-10-02T01:02:07Z</dcterms:created>
  <dc:creator>openpyxl</dc:creator>
  <dc:description/>
  <dc:language>en-US</dc:language>
  <cp:lastModifiedBy>Rowan Das</cp:lastModifiedBy>
  <dcterms:modified xsi:type="dcterms:W3CDTF">2026-10-02T04:56:49Z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