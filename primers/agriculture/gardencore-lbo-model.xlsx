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ransaction" sheetId="2" state="visible" r:id="rId4"/>
    <sheet name="Operating Model" sheetId="3" state="visible" r:id="rId5"/>
    <sheet name="Debt Waterfall" sheetId="4" state="visible" r:id="rId6"/>
    <sheet name="Returns" sheetId="5" state="visible" r:id="rId7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9" authorId="0">
      <text>
        <r>
          <rPr>
            <sz val="10"/>
            <rFont val="Arial"/>
            <family val="2"/>
          </rPr>
          <t xml:space="preserve">Plug: total uses less debt and sale-leaseback proceeds.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0" authorId="0">
      <text>
        <r>
          <rPr>
            <sz val="10"/>
            <rFont val="Arial"/>
            <family val="2"/>
          </rPr>
          <t xml:space="preserve">Assumed: mulch and soil inventory builds ahead of the spring season.</t>
        </r>
      </text>
    </comment>
    <comment ref="G10" authorId="0">
      <text>
        <r>
          <rPr>
            <sz val="10"/>
            <rFont val="Arial"/>
            <family val="2"/>
          </rPr>
          <t xml:space="preserve">Assumed: price + volume, plus greenfield sites and tuck-ins named in the press release.</t>
        </r>
      </text>
    </comment>
    <comment ref="G11" authorId="0">
      <text>
        <r>
          <rPr>
            <sz val="10"/>
            <rFont val="Arial"/>
            <family val="2"/>
          </rPr>
          <t xml:space="preserve">Assumed: standalone cost savings and premium product mix lift margins ~50bps a year.</t>
        </r>
      </text>
    </comment>
    <comment ref="G16" authorId="0">
      <text>
        <r>
          <rPr>
            <sz val="10"/>
            <rFont val="Arial"/>
            <family val="2"/>
          </rPr>
          <t xml:space="preserve">Assumed: carve-out costs to stand up IT, finance and HR outside CRH (transition services, systems).</t>
        </r>
      </text>
    </comment>
    <comment ref="G18" authorId="0">
      <text>
        <r>
          <rPr>
            <sz val="10"/>
            <rFont val="Arial"/>
            <family val="2"/>
          </rPr>
          <t xml:space="preserve">Assumed: equipment only; the real estate was sold to W. P. Carey.</t>
        </r>
      </text>
    </comment>
    <comment ref="G34" authorId="0">
      <text>
        <r>
          <rPr>
            <sz val="10"/>
            <rFont val="Arial"/>
            <family val="2"/>
          </rPr>
          <t xml:space="preserve">Assumed: maintenance plus greenfield plants.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Off: interest on average balance (circular, solved by iterative calculation). Switch On if the model ever shows errors, then back Off.</t>
        </r>
      </text>
    </comment>
    <comment ref="G32" authorId="0">
      <text>
        <r>
          <rPr>
            <sz val="10"/>
            <rFont val="Arial"/>
            <family val="2"/>
          </rPr>
          <t xml:space="preserve">SOFR was ~3.88% in early Oct-2026 (sofrrate.com); later years assume modest easing.</t>
        </r>
      </text>
    </comment>
    <comment ref="G53" authorId="0">
      <text>
        <r>
          <rPr>
            <sz val="10"/>
            <rFont val="Arial"/>
            <family val="2"/>
          </rPr>
          <t xml:space="preserve">Assumed: typical 2026 middle-market private credit pricing for a ~4.5x levered carve-out.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8" authorId="0">
      <text>
        <r>
          <rPr>
            <sz val="10"/>
            <rFont val="Arial"/>
            <family val="2"/>
          </rPr>
          <t xml:space="preserve">Turns of EBITDA the exit multiple can fall from the assumed exit multiple before returns drop to this level.</t>
        </r>
      </text>
    </comment>
  </commentList>
</comments>
</file>

<file path=xl/sharedStrings.xml><?xml version="1.0" encoding="utf-8"?>
<sst xmlns="http://schemas.openxmlformats.org/spreadsheetml/2006/main" count="308" uniqueCount="283">
  <si>
    <t xml:space="preserve">GardenCore LLC</t>
  </si>
  <si>
    <t xml:space="preserve">Carve-out of Oldcastle Lawn &amp; Garden, Inc. from CRH plc</t>
  </si>
  <si>
    <t xml:space="preserve">Leveraged buyout by Pacific Avenue Capital Partners (Fund II)  |  $1.1bn enterprise value</t>
  </si>
  <si>
    <t xml:space="preserve">Sources &amp; Uses, Debt Waterfall and Returns Model</t>
  </si>
  <si>
    <t xml:space="preserve">Legend</t>
  </si>
  <si>
    <t xml:space="preserve">1,100.0</t>
  </si>
  <si>
    <t xml:space="preserve">Hardcoded input</t>
  </si>
  <si>
    <t xml:space="preserve">4.0%</t>
  </si>
  <si>
    <t xml:space="preserve">Key forecast assumption (change these to run cases)</t>
  </si>
  <si>
    <t xml:space="preserve">1,148.1</t>
  </si>
  <si>
    <t xml:space="preserve">Formula</t>
  </si>
  <si>
    <t xml:space="preserve">153.4</t>
  </si>
  <si>
    <t xml:space="preserve">Link from another sheet</t>
  </si>
  <si>
    <t xml:space="preserve">Section header</t>
  </si>
  <si>
    <t xml:space="preserve">Contents</t>
  </si>
  <si>
    <t xml:space="preserve">Transaction</t>
  </si>
  <si>
    <t xml:space="preserve">Deal facts, key assumptions, financing structure, sources &amp; uses</t>
  </si>
  <si>
    <t xml:space="preserve">Operating Model</t>
  </si>
  <si>
    <t xml:space="preserve">Revenue, EBITDAR, sale-leaseback rent, EBITDA and cash flow, Years 1-5</t>
  </si>
  <si>
    <t xml:space="preserve">Debt Waterfall</t>
  </si>
  <si>
    <t xml:space="preserve">Cash available for debt service, ABL revolver, term loan, cash sweep, credit stats</t>
  </si>
  <si>
    <t xml:space="preserve">Returns</t>
  </si>
  <si>
    <t xml:space="preserve">Exit, IRR / MOIC, break-even multiples, sensitivities, LP / GP distribution waterfall</t>
  </si>
  <si>
    <t xml:space="preserve">Name</t>
  </si>
  <si>
    <t xml:space="preserve">Rowan Das</t>
  </si>
  <si>
    <t xml:space="preserve">Date</t>
  </si>
  <si>
    <t xml:space="preserve">Email</t>
  </si>
  <si>
    <t xml:space="preserve">rowanamlan@gmail.com</t>
  </si>
  <si>
    <t xml:space="preserve">Disclosed: $1.1bn enterprise value, $400mm W. P. Carey sale-leaseback, advisors and fund. Not disclosed: GardenCore's revenue,</t>
  </si>
  <si>
    <t xml:space="preserve">EBITDA and debt terms. Those inputs are assumptions (blue) and should be updated if better data becomes available.</t>
  </si>
  <si>
    <t xml:space="preserve">GardenCore LLC: Transaction Summary</t>
  </si>
  <si>
    <t xml:space="preserve">($ in millions, unless noted)</t>
  </si>
  <si>
    <t xml:space="preserve">Transaction Overview</t>
  </si>
  <si>
    <t xml:space="preserve">Source</t>
  </si>
  <si>
    <t xml:space="preserve">Target</t>
  </si>
  <si>
    <t xml:space="preserve">Oldcastle Lawn &amp; Garden, Inc. (GardenCore LLC after close)</t>
  </si>
  <si>
    <t xml:space="preserve">Pacific Avenue press release, 30-Apr-2026</t>
  </si>
  <si>
    <t xml:space="preserve">Seller</t>
  </si>
  <si>
    <t xml:space="preserve">CRH plc (NYSE: CRH), through Oldcastle APG</t>
  </si>
  <si>
    <t xml:space="preserve">The Deal, 1-May-2026</t>
  </si>
  <si>
    <t xml:space="preserve">Buyer</t>
  </si>
  <si>
    <t xml:space="preserve">Pacific Avenue Capital Partners, via Pacific Avenue Fund II</t>
  </si>
  <si>
    <t xml:space="preserve">Pacific Avenue press release; deal notes</t>
  </si>
  <si>
    <t xml:space="preserve">Timing</t>
  </si>
  <si>
    <t xml:space="preserve">Announced 30-Apr-2026; closed early May 2026</t>
  </si>
  <si>
    <t xml:space="preserve">Press release; W. P. Carey 8-K (sale-leaseback closed 8-May-2026)</t>
  </si>
  <si>
    <t xml:space="preserve">Business</t>
  </si>
  <si>
    <t xml:space="preserve">Mulch, soil, stone and lime; private label and branded programs</t>
  </si>
  <si>
    <t xml:space="preserve">Pacific Avenue press release</t>
  </si>
  <si>
    <t xml:space="preserve">Footprint</t>
  </si>
  <si>
    <t xml:space="preserve">1,400+ employees; 55+ U.S. manufacturing facilities</t>
  </si>
  <si>
    <t xml:space="preserve">Buy-side advisors</t>
  </si>
  <si>
    <t xml:space="preserve">Jefferies (financial), Weil (legal), Sidley (debt financing)</t>
  </si>
  <si>
    <t xml:space="preserve">Press release; Sidley announcement, 13-May-2026</t>
  </si>
  <si>
    <t xml:space="preserve">Sell-side advisors</t>
  </si>
  <si>
    <t xml:space="preserve">BofA Securities (financial), Kilpatrick Townsend (legal)</t>
  </si>
  <si>
    <t xml:space="preserve">Press release; The Deal</t>
  </si>
  <si>
    <t xml:space="preserve">Sale-leaseback</t>
  </si>
  <si>
    <t xml:space="preserve">W. P. Carey: $400mm, 43 plants, 24 states, 20-yr triple-net lease</t>
  </si>
  <si>
    <t xml:space="preserve">W. P. Carey Q2-2026 earnings call; 8-K (May-2026)</t>
  </si>
  <si>
    <t xml:space="preserve">Fund</t>
  </si>
  <si>
    <t xml:space="preserve">Pacific Avenue Fund II: $1.65bn+ committed, closed Aug-2025</t>
  </si>
  <si>
    <t xml:space="preserve">Business Wire, 12-Aug-2025</t>
  </si>
  <si>
    <t xml:space="preserve">Debt package</t>
  </si>
  <si>
    <t xml:space="preserve">Not disclosed; modeled as ABL revolver + first lien term loan</t>
  </si>
  <si>
    <t xml:space="preserve">Assumption</t>
  </si>
  <si>
    <t xml:space="preserve">Key Transaction Assumptions</t>
  </si>
  <si>
    <t xml:space="preserve">Value</t>
  </si>
  <si>
    <t xml:space="preserve">Basis / source</t>
  </si>
  <si>
    <t xml:space="preserve">Close date</t>
  </si>
  <si>
    <t xml:space="preserve">W. P. Carey 8-K: sale-leaseback closed in conjunction with the acquisition</t>
  </si>
  <si>
    <t xml:space="preserve">Purchase enterprise value</t>
  </si>
  <si>
    <t xml:space="preserve">Disclosed ($1.1bn)</t>
  </si>
  <si>
    <t xml:space="preserve">LTM revenue at close</t>
  </si>
  <si>
    <t xml:space="preserve">Assumed: not disclosed (~$0.5mm per employee x 1,400+ employees)</t>
  </si>
  <si>
    <t xml:space="preserve">LTM EBITDAR margin (before sale-leaseback rent)</t>
  </si>
  <si>
    <t xml:space="preserve">Assumed: not disclosed</t>
  </si>
  <si>
    <t xml:space="preserve">LTM EBITDAR</t>
  </si>
  <si>
    <t xml:space="preserve">Implied EV / LTM EBITDAR</t>
  </si>
  <si>
    <t xml:space="preserve">Purchase multiple on the business before the sale-leaseback</t>
  </si>
  <si>
    <t xml:space="preserve">Sale-leaseback proceeds (W. P. Carey)</t>
  </si>
  <si>
    <t xml:space="preserve">Disclosed: W. P. Carey Q2-2026 earnings call</t>
  </si>
  <si>
    <t xml:space="preserve">Sale-leaseback cap rate</t>
  </si>
  <si>
    <t xml:space="preserve">Assumed at W. P. Carey's 2026 YTD avg. initial cash cap rate (7.4%)</t>
  </si>
  <si>
    <t xml:space="preserve">Annual rent escalator</t>
  </si>
  <si>
    <t xml:space="preserve">Assumed: disclosed only as 'fixed annual rent increases'</t>
  </si>
  <si>
    <t xml:space="preserve">Year-1 rent</t>
  </si>
  <si>
    <t xml:space="preserve">PF LTM EBITDA (after rent)</t>
  </si>
  <si>
    <t xml:space="preserve">What lenders underwrite once the plants are leased back</t>
  </si>
  <si>
    <t xml:space="preserve">Net purchase price after sale-leaseback</t>
  </si>
  <si>
    <t xml:space="preserve">Net price / PF EBITDA</t>
  </si>
  <si>
    <t xml:space="preserve">Effective entry multiple funded by debt + equity</t>
  </si>
  <si>
    <t xml:space="preserve">Advisory &amp; transaction fees (% of EV)</t>
  </si>
  <si>
    <t xml:space="preserve">Assumed: Jefferies, Weil, Sidley and other deal costs</t>
  </si>
  <si>
    <t xml:space="preserve">Minimum cash balance</t>
  </si>
  <si>
    <t xml:space="preserve">Assumed</t>
  </si>
  <si>
    <t xml:space="preserve">Tax rate</t>
  </si>
  <si>
    <t xml:space="preserve">Assumed: U.S. federal (21%) + state</t>
  </si>
  <si>
    <t xml:space="preserve">Pacific Avenue Fund II committed capital</t>
  </si>
  <si>
    <t xml:space="preserve">Business Wire, 12-Aug-2025 ($1.65bn+, incl. EU sidecar)</t>
  </si>
  <si>
    <t xml:space="preserve">Financing Structure (Assumed: debt terms not disclosed)</t>
  </si>
  <si>
    <t xml:space="preserve">Facility</t>
  </si>
  <si>
    <t xml:space="preserve">Commitment</t>
  </si>
  <si>
    <t xml:space="preserve">At close</t>
  </si>
  <si>
    <t xml:space="preserve">Pricing</t>
  </si>
  <si>
    <t xml:space="preserve">Fees / OID</t>
  </si>
  <si>
    <t xml:space="preserve">Notes</t>
  </si>
  <si>
    <t xml:space="preserve">ABL revolving credit facility</t>
  </si>
  <si>
    <t xml:space="preserve">Funds seasonal inventory build; secured by receivables and inventory; 5-yr; 0.375% undrawn fee</t>
  </si>
  <si>
    <t xml:space="preserve">First lien term loan (private credit)</t>
  </si>
  <si>
    <t xml:space="preserve">Unitranche-style; 0.75% SOFR floor; 1% annual amortization; 7-yr; 75% excess cash sweep</t>
  </si>
  <si>
    <t xml:space="preserve">Sale-leaseback (W. P. Carey)</t>
  </si>
  <si>
    <t xml:space="preserve">Monetizes all 43 owned plants; not debt, but rent becomes a fixed charge ahead of equity</t>
  </si>
  <si>
    <t xml:space="preserve">Sources &amp; Uses</t>
  </si>
  <si>
    <t xml:space="preserve">Sources</t>
  </si>
  <si>
    <t xml:space="preserve">$mm</t>
  </si>
  <si>
    <t xml:space="preserve">% of total</t>
  </si>
  <si>
    <t xml:space="preserve">x PF EBITDA</t>
  </si>
  <si>
    <t xml:space="preserve">ABL revolver (drawn at close)</t>
  </si>
  <si>
    <t xml:space="preserve">First lien term loan</t>
  </si>
  <si>
    <t xml:space="preserve">Sponsor equity (Pacific Avenue Fund II)</t>
  </si>
  <si>
    <t xml:space="preserve">Total sources</t>
  </si>
  <si>
    <t xml:space="preserve">Uses</t>
  </si>
  <si>
    <t xml:space="preserve">Purchase of Oldcastle Lawn &amp; Garden</t>
  </si>
  <si>
    <t xml:space="preserve">Advisory &amp; transaction fees</t>
  </si>
  <si>
    <t xml:space="preserve">ABL upfront fees</t>
  </si>
  <si>
    <t xml:space="preserve">Term loan OID &amp; financing fees</t>
  </si>
  <si>
    <t xml:space="preserve">Cash to balance sheet</t>
  </si>
  <si>
    <t xml:space="preserve">Total uses</t>
  </si>
  <si>
    <t xml:space="preserve">Credit Statistics at Close</t>
  </si>
  <si>
    <t xml:space="preserve">Total funded debt</t>
  </si>
  <si>
    <t xml:space="preserve">Total debt / PF EBITDA</t>
  </si>
  <si>
    <t xml:space="preserve">Lease-adjusted debt (debt + 8x rent)</t>
  </si>
  <si>
    <t xml:space="preserve">8x rent is the common rating-agency convention for capitalizing leases</t>
  </si>
  <si>
    <t xml:space="preserve">Lease-adjusted leverage (x EBITDAR)</t>
  </si>
  <si>
    <t xml:space="preserve">Equity / (debt + equity)</t>
  </si>
  <si>
    <t xml:space="preserve">Equity check as % of Fund II</t>
  </si>
  <si>
    <t xml:space="preserve">Funds often cap one deal at ~15-20% of commitments, so part of the equity may have come from co-investors</t>
  </si>
  <si>
    <t xml:space="preserve">Check: sources less uses (should be 0)</t>
  </si>
  <si>
    <t xml:space="preserve">GardenCore LLC: Operating Model</t>
  </si>
  <si>
    <t xml:space="preserve">($ in millions)</t>
  </si>
  <si>
    <t xml:space="preserve">Period</t>
  </si>
  <si>
    <t xml:space="preserve">PF Close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</si>
  <si>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</si>
  <si>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</si>
  <si>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</si>
  <si>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</si>
  <si>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</si>
  <si>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Fiscal start</t>
  </si>
  <si>
    <t xml:space="preserve">Fiscal end</t>
  </si>
  <si>
    <t xml:space="preserve">Days</t>
  </si>
  <si>
    <t xml:space="preserve">Income Statement</t>
  </si>
  <si>
    <t xml:space="preserve">Revenue</t>
  </si>
  <si>
    <t xml:space="preserve">  Revenue growth</t>
  </si>
  <si>
    <t xml:space="preserve">  EBITDAR margin</t>
  </si>
  <si>
    <t xml:space="preserve">EBITDAR</t>
  </si>
  <si>
    <t xml:space="preserve">(-) Rent: W. P. Carey sale-leaseback</t>
  </si>
  <si>
    <t xml:space="preserve">EBITDA (after rent)</t>
  </si>
  <si>
    <t xml:space="preserve">  EBITDA margin</t>
  </si>
  <si>
    <t xml:space="preserve">(-) Separation &amp; standalone costs (one-time)</t>
  </si>
  <si>
    <t xml:space="preserve">(-) Depreciation &amp; amortization</t>
  </si>
  <si>
    <t xml:space="preserve">  D&amp;A % of revenue</t>
  </si>
  <si>
    <t xml:space="preserve">EBIT</t>
  </si>
  <si>
    <t xml:space="preserve">(-) Interest expense &amp; fees</t>
  </si>
  <si>
    <t xml:space="preserve">Pre-tax income</t>
  </si>
  <si>
    <t xml:space="preserve">(-) Taxes</t>
  </si>
  <si>
    <t xml:space="preserve">Net income</t>
  </si>
  <si>
    <t xml:space="preserve">Cash Flow Before Debt Service</t>
  </si>
  <si>
    <t xml:space="preserve">(-) Separation &amp; standalone costs</t>
  </si>
  <si>
    <t xml:space="preserve">(-) Cash taxes</t>
  </si>
  <si>
    <t xml:space="preserve">Net working capital balance</t>
  </si>
  <si>
    <t xml:space="preserve">  NWC % of revenue</t>
  </si>
  <si>
    <t xml:space="preserve">(-) Increase in net working capital</t>
  </si>
  <si>
    <t xml:space="preserve">Cash flow from operations (before interest)</t>
  </si>
  <si>
    <t xml:space="preserve">(-) Capital expenditures</t>
  </si>
  <si>
    <t xml:space="preserve">  Capex % of revenue</t>
  </si>
  <si>
    <t xml:space="preserve">Cash flow from investing</t>
  </si>
  <si>
    <t xml:space="preserve">Free cash flow before debt service</t>
  </si>
  <si>
    <t xml:space="preserve">Levered free cash flow (after interest)</t>
  </si>
  <si>
    <t xml:space="preserve">GardenCore LLC: Debt Waterfall</t>
  </si>
  <si>
    <t xml:space="preserve">Close date:</t>
  </si>
  <si>
    <t xml:space="preserve">Circuit breaker (On = interest on opening balance)</t>
  </si>
  <si>
    <t xml:space="preserve">Off</t>
  </si>
  <si>
    <t xml:space="preserve">Cash Liquidity</t>
  </si>
  <si>
    <t xml:space="preserve">Cash, beginning of period</t>
  </si>
  <si>
    <t xml:space="preserve">(+) Cash flow from operations (before interest)</t>
  </si>
  <si>
    <t xml:space="preserve">(+) Cash flow from investing</t>
  </si>
  <si>
    <t xml:space="preserve">(-) Minimum cash balance</t>
  </si>
  <si>
    <t xml:space="preserve">Cash available for debt service</t>
  </si>
  <si>
    <t xml:space="preserve">(-) Interest expense &amp; fees (all facilities)</t>
  </si>
  <si>
    <t xml:space="preserve">(-) Mandatory amortization</t>
  </si>
  <si>
    <t xml:space="preserve">Cash available after interest &amp; mandatory repayment</t>
  </si>
  <si>
    <t xml:space="preserve">Revolving Credit Facility</t>
  </si>
  <si>
    <t xml:space="preserve">Principal Balance</t>
  </si>
  <si>
    <t xml:space="preserve">Opening</t>
  </si>
  <si>
    <t xml:space="preserve">(+) Draw / (-) repayment</t>
  </si>
  <si>
    <t xml:space="preserve">Closing</t>
  </si>
  <si>
    <t xml:space="preserve">Available capacity</t>
  </si>
  <si>
    <t xml:space="preserve">Benchmark rate (SOFR)</t>
  </si>
  <si>
    <t xml:space="preserve">Spread</t>
  </si>
  <si>
    <t xml:space="preserve">Interest rate</t>
  </si>
  <si>
    <t xml:space="preserve">Undrawn commitment fee</t>
  </si>
  <si>
    <t xml:space="preserve">Interest expense</t>
  </si>
  <si>
    <t xml:space="preserve">Cash available post-revolver</t>
  </si>
  <si>
    <t xml:space="preserve">Term Loans</t>
  </si>
  <si>
    <t xml:space="preserve">(-) Optional prepayment (excess cash sweep)</t>
  </si>
  <si>
    <t xml:space="preserve">SOFR floor</t>
  </si>
  <si>
    <t xml:space="preserve">Mandatory amortization (% of original principal)</t>
  </si>
  <si>
    <t xml:space="preserve">Excess cash sweep</t>
  </si>
  <si>
    <t xml:space="preserve">Cash available post-principal repayment</t>
  </si>
  <si>
    <t xml:space="preserve">Cash Balance</t>
  </si>
  <si>
    <t xml:space="preserve">Excess cash retained after debt service</t>
  </si>
  <si>
    <t xml:space="preserve">(+) Minimum cash balance</t>
  </si>
  <si>
    <t xml:space="preserve">Cash, end of period</t>
  </si>
  <si>
    <t xml:space="preserve">Minimum cash check</t>
  </si>
  <si>
    <t xml:space="preserve">Credit Statistics</t>
  </si>
  <si>
    <t xml:space="preserve">Total debt</t>
  </si>
  <si>
    <t xml:space="preserve">Cash</t>
  </si>
  <si>
    <t xml:space="preserve">Net debt</t>
  </si>
  <si>
    <t xml:space="preserve">Rent</t>
  </si>
  <si>
    <t xml:space="preserve">Total debt / EBITDA</t>
  </si>
  <si>
    <t xml:space="preserve">Net debt / EBITDA</t>
  </si>
  <si>
    <t xml:space="preserve">Lease-adjusted leverage ((debt + 8x rent) / EBITDAR)</t>
  </si>
  <si>
    <t xml:space="preserve">EBITDA / interest</t>
  </si>
  <si>
    <t xml:space="preserve">Fixed charge coverage (EBITDAR / (interest + rent))</t>
  </si>
  <si>
    <t xml:space="preserve">Cumulative debt paydown</t>
  </si>
  <si>
    <t xml:space="preserve">GardenCore LLC: Returns Analysis</t>
  </si>
  <si>
    <t xml:space="preserve">Exit Assumptions</t>
  </si>
  <si>
    <t xml:space="preserve">Exit year (1-5)</t>
  </si>
  <si>
    <t xml:space="preserve">Exit multiple (EV / EBITDA after rent)</t>
  </si>
  <si>
    <t xml:space="preserve">Base case exits at roughly the entry multiple (no multiple expansion)</t>
  </si>
  <si>
    <t xml:space="preserve">Entry multiple (net price / PF EBITDA), for reference</t>
  </si>
  <si>
    <t xml:space="preserve">Exit transaction costs (% of EV)</t>
  </si>
  <si>
    <t xml:space="preserve">Sponsor Returns</t>
  </si>
  <si>
    <t xml:space="preserve">Exit EBITDA (after rent)</t>
  </si>
  <si>
    <t xml:space="preserve">Exit enterprise value</t>
  </si>
  <si>
    <t xml:space="preserve">(-) Exit transaction costs</t>
  </si>
  <si>
    <t xml:space="preserve">(-) Total debt at exit</t>
  </si>
  <si>
    <t xml:space="preserve">(+) Cash at exit</t>
  </si>
  <si>
    <t xml:space="preserve">Equity value at exit</t>
  </si>
  <si>
    <t xml:space="preserve">Sponsor equity invested</t>
  </si>
  <si>
    <t xml:space="preserve">MOIC</t>
  </si>
  <si>
    <t xml:space="preserve">IRR</t>
  </si>
  <si>
    <t xml:space="preserve">Sponsor cash flows</t>
  </si>
  <si>
    <t xml:space="preserve">Equity (invested) / returned</t>
  </si>
  <si>
    <t xml:space="preserve">IRR check (Excel IRR on cash flows)</t>
  </si>
  <si>
    <t xml:space="preserve">Break-even Analysis: Exit Multiple Needed for Each Return Level</t>
  </si>
  <si>
    <t xml:space="preserve">Target gross IRR</t>
  </si>
  <si>
    <t xml:space="preserve">Exit equity needed</t>
  </si>
  <si>
    <t xml:space="preserve">Exit EV needed</t>
  </si>
  <si>
    <t xml:space="preserve">Exit multiple needed</t>
  </si>
  <si>
    <t xml:space="preserve">Cushion vs. base (turns)</t>
  </si>
  <si>
    <t xml:space="preserve">What it means</t>
  </si>
  <si>
    <t xml:space="preserve">Capital returned: below this, the fund loses money on the deal</t>
  </si>
  <si>
    <t xml:space="preserve">LPs' preferred return (typical 8% hurdle); below this, no carry for the GP</t>
  </si>
  <si>
    <t xml:space="preserve">Low end of a typical buyout target</t>
  </si>
  <si>
    <t xml:space="preserve">Typical buyout target</t>
  </si>
  <si>
    <t xml:space="preserve">Strong outcome</t>
  </si>
  <si>
    <t xml:space="preserve">Sensitivity: Sponsor IRR by Exit Multiple and Exit Year</t>
  </si>
  <si>
    <t xml:space="preserve">Exit multiple  \  exit year</t>
  </si>
  <si>
    <t xml:space="preserve">Sponsor MOIC by exit multiple and exit year</t>
  </si>
  <si>
    <t xml:space="preserve">Fund Distribution Waterfall (LP / GP)</t>
  </si>
  <si>
    <t xml:space="preserve">Preferred return (hurdle)</t>
  </si>
  <si>
    <t xml:space="preserve">Typical buyout fund terms; Pacific Avenue's actual LPA terms are not public</t>
  </si>
  <si>
    <t xml:space="preserve">Carried interest</t>
  </si>
  <si>
    <t xml:space="preserve">GP catch-up</t>
  </si>
  <si>
    <t xml:space="preserve">100%</t>
  </si>
  <si>
    <t xml:space="preserve">Total distributable proceeds</t>
  </si>
  <si>
    <t xml:space="preserve">Invested capital</t>
  </si>
  <si>
    <t xml:space="preserve">Holding period (years)</t>
  </si>
  <si>
    <t xml:space="preserve">Tier</t>
  </si>
  <si>
    <t xml:space="preserve">To LPs</t>
  </si>
  <si>
    <t xml:space="preserve">To GP</t>
  </si>
  <si>
    <t xml:space="preserve">Total</t>
  </si>
  <si>
    <t xml:space="preserve">1. Return of capital</t>
  </si>
  <si>
    <t xml:space="preserve">2. Preferred return (compounded)</t>
  </si>
  <si>
    <t xml:space="preserve">3. GP catch-up</t>
  </si>
  <si>
    <t xml:space="preserve">4. Remaining profit split</t>
  </si>
  <si>
    <t xml:space="preserve">LP net MOIC</t>
  </si>
  <si>
    <t xml:space="preserve">LP net IRR (before management fees)</t>
  </si>
  <si>
    <t xml:space="preserve">Management fees (often ~2% of commitments) lower LP net returns further</t>
  </si>
  <si>
    <t xml:space="preserve">GP carried interest</t>
  </si>
  <si>
    <t xml:space="preserve">GP share of total profit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</si>
</sst>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m/dd/yyyy"/>
    <numFmt numFmtId="166" formatCode="d\-mmm\-yy"/>
    <numFmt numFmtId="167" formatCode="#,##0.0_);\(#,##0.0\);\-_)"/>
    <numFmt numFmtId="168" formatCode="0.0%_);\(0.0%\);\-_)"/>
    <numFmt numFmtId="169" formatCode="0.0\x_);\(0.0&quot;x)&quot;;\-_)"/>
    <numFmt numFmtId="170" formatCode="0.00%_);\(0.00%\);\-_)"/>
    <numFmt numFmtId="171" formatCode="#,##0_);\(#,##0\);\-_)"/>
    <numFmt numFmtId="172" formatCode="0.000%"/>
    <numFmt numFmtId="173" formatCode="0"/>
    <numFmt numFmtId="174" formatCode="0.00\x"/>
    <numFmt numFmtId="175" formatCode="&quot;Year &quot;0;;&quot;Close&quot;"/>
    <numFmt numFmtId="176" formatCode="0.0%"/>
    <numFmt numFmtId="177" formatCode="&quot;Year &quot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Garamond"/>
      <family val="0"/>
      <charset val="1"/>
    </font>
    <font>
      <b val="true"/>
      <sz val="24"/>
      <color rgb="FFC00000"/>
      <name val="Garamond"/>
      <family val="0"/>
      <charset val="1"/>
    </font>
    <font>
      <sz val="13"/>
      <color rgb="FF000000"/>
      <name val="Garamond"/>
      <family val="0"/>
      <charset val="1"/>
    </font>
    <font>
      <b val="true"/>
      <sz val="14"/>
      <color rgb="FF000000"/>
      <name val="Garamond"/>
      <family val="0"/>
      <charset val="1"/>
    </font>
    <font>
      <b val="true"/>
      <sz val="11"/>
      <color rgb="FF000000"/>
      <name val="Garamond"/>
      <family val="0"/>
      <charset val="1"/>
    </font>
    <font>
      <sz val="11"/>
      <color rgb="FF0000FF"/>
      <name val="Garamond"/>
      <family val="0"/>
      <charset val="1"/>
    </font>
    <font>
      <sz val="11"/>
      <color rgb="FF008000"/>
      <name val="Garamond"/>
      <family val="0"/>
      <charset val="1"/>
    </font>
    <font>
      <b val="true"/>
      <sz val="11"/>
      <color rgb="FFFFFFFF"/>
      <name val="Garamond"/>
      <family val="0"/>
      <charset val="1"/>
    </font>
    <font>
      <i val="true"/>
      <sz val="11"/>
      <color rgb="FF000000"/>
      <name val="Garamond"/>
      <family val="0"/>
      <charset val="1"/>
    </font>
    <font>
      <i val="true"/>
      <sz val="11"/>
      <color rgb="FF595959"/>
      <name val="Garamond"/>
      <family val="0"/>
      <charset val="1"/>
    </font>
    <font>
      <sz val="10"/>
      <name val="Arial"/>
      <family val="2"/>
    </font>
    <font>
      <b val="true"/>
      <sz val="11"/>
      <color rgb="FF008000"/>
      <name val="Garamond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6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8" min="5" style="1" width="14"/>
    <col collapsed="false" customWidth="true" hidden="false" outlineLevel="0" max="9" min="9" style="1" width="4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29.15" hidden="false" customHeight="false" outlineLevel="0" collapsed="false">
      <c r="A6" s="2"/>
      <c r="B6" s="2"/>
      <c r="C6" s="4" t="s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6.15" hidden="false" customHeight="false" outlineLevel="0" collapsed="false">
      <c r="A8" s="2"/>
      <c r="B8" s="2"/>
      <c r="C8" s="5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6.15" hidden="false" customHeight="false" outlineLevel="0" collapsed="false">
      <c r="A9" s="2"/>
      <c r="B9" s="2"/>
      <c r="C9" s="5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7.35" hidden="false" customHeight="false" outlineLevel="0" collapsed="false">
      <c r="A11" s="2"/>
      <c r="B11" s="2"/>
      <c r="C11" s="6" t="s">
        <v>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7" t="s">
        <v>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8" t="s">
        <v>5</v>
      </c>
      <c r="D15" s="2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9" t="s">
        <v>7</v>
      </c>
      <c r="D16" s="2" t="s">
        <v>8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10" t="s">
        <v>9</v>
      </c>
      <c r="D17" s="2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11" t="s">
        <v>11</v>
      </c>
      <c r="D18" s="2" t="s">
        <v>12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12" t="s">
        <v>13</v>
      </c>
      <c r="D19" s="2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7" t="s">
        <v>14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 t="s">
        <v>15</v>
      </c>
      <c r="D23" s="2" t="s">
        <v>16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 t="s">
        <v>17</v>
      </c>
      <c r="D24" s="2" t="s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 t="s">
        <v>19</v>
      </c>
      <c r="D25" s="2" t="s">
        <v>20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 t="s">
        <v>21</v>
      </c>
      <c r="D26" s="2" t="s">
        <v>22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 t="s">
        <v>23</v>
      </c>
      <c r="D29" s="2" t="s">
        <v>24</v>
      </c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 t="s">
        <v>25</v>
      </c>
      <c r="D30" s="13" t="n">
        <v>46306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 t="s">
        <v>26</v>
      </c>
      <c r="D31" s="2" t="s">
        <v>27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14" t="s">
        <v>28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14" t="s">
        <v>29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3"/>
      <c r="C35" s="3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0"/>
    <col collapsed="false" customWidth="true" hidden="false" outlineLevel="0" max="5" min="4" style="1" width="13"/>
    <col collapsed="false" customWidth="true" hidden="false" outlineLevel="0" max="6" min="6" style="1" width="20"/>
    <col collapsed="false" customWidth="true" hidden="false" outlineLevel="0" max="7" min="7" style="1" width="15"/>
    <col collapsed="false" customWidth="true" hidden="false" outlineLevel="0" max="8" min="8" style="1" width="62"/>
    <col collapsed="false" customWidth="true" hidden="false" outlineLevel="0" max="12" min="9" style="1" width="2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2"/>
      <c r="B2" s="2"/>
      <c r="C2" s="6" t="s">
        <v>30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14" t="s">
        <v>31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15"/>
      <c r="C5" s="12" t="s">
        <v>32</v>
      </c>
      <c r="D5" s="15"/>
      <c r="E5" s="15"/>
      <c r="F5" s="15"/>
      <c r="G5" s="15"/>
      <c r="H5" s="12" t="s">
        <v>33</v>
      </c>
      <c r="I5" s="15"/>
      <c r="J5" s="15"/>
      <c r="K5" s="15"/>
      <c r="L5" s="15"/>
      <c r="M5" s="2"/>
      <c r="N5" s="2"/>
    </row>
    <row r="6" customFormat="false" ht="15" hidden="false" customHeight="false" outlineLevel="0" collapsed="false">
      <c r="A6" s="2"/>
      <c r="B6" s="2"/>
      <c r="C6" s="7" t="s">
        <v>34</v>
      </c>
      <c r="D6" s="2" t="s">
        <v>35</v>
      </c>
      <c r="E6" s="2"/>
      <c r="F6" s="2"/>
      <c r="G6" s="2"/>
      <c r="H6" s="16" t="s">
        <v>36</v>
      </c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7" t="s">
        <v>37</v>
      </c>
      <c r="D7" s="2" t="s">
        <v>38</v>
      </c>
      <c r="E7" s="2"/>
      <c r="F7" s="2"/>
      <c r="G7" s="2"/>
      <c r="H7" s="16" t="s">
        <v>39</v>
      </c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7" t="s">
        <v>40</v>
      </c>
      <c r="D8" s="2" t="s">
        <v>41</v>
      </c>
      <c r="E8" s="2"/>
      <c r="F8" s="2"/>
      <c r="G8" s="2"/>
      <c r="H8" s="16" t="s">
        <v>42</v>
      </c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7" t="s">
        <v>43</v>
      </c>
      <c r="D9" s="2" t="s">
        <v>44</v>
      </c>
      <c r="E9" s="2"/>
      <c r="F9" s="2"/>
      <c r="G9" s="2"/>
      <c r="H9" s="16" t="s">
        <v>45</v>
      </c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7" t="s">
        <v>46</v>
      </c>
      <c r="D10" s="2" t="s">
        <v>47</v>
      </c>
      <c r="E10" s="2"/>
      <c r="F10" s="2"/>
      <c r="G10" s="2"/>
      <c r="H10" s="16" t="s">
        <v>48</v>
      </c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7" t="s">
        <v>49</v>
      </c>
      <c r="D11" s="2" t="s">
        <v>50</v>
      </c>
      <c r="E11" s="2"/>
      <c r="F11" s="2"/>
      <c r="G11" s="2"/>
      <c r="H11" s="16" t="s">
        <v>48</v>
      </c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7" t="s">
        <v>51</v>
      </c>
      <c r="D12" s="2" t="s">
        <v>52</v>
      </c>
      <c r="E12" s="2"/>
      <c r="F12" s="2"/>
      <c r="G12" s="2"/>
      <c r="H12" s="16" t="s">
        <v>53</v>
      </c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7" t="s">
        <v>54</v>
      </c>
      <c r="D13" s="2" t="s">
        <v>55</v>
      </c>
      <c r="E13" s="2"/>
      <c r="F13" s="2"/>
      <c r="G13" s="2"/>
      <c r="H13" s="16" t="s">
        <v>56</v>
      </c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7" t="s">
        <v>57</v>
      </c>
      <c r="D14" s="2" t="s">
        <v>58</v>
      </c>
      <c r="E14" s="2"/>
      <c r="F14" s="2"/>
      <c r="G14" s="2"/>
      <c r="H14" s="16" t="s">
        <v>59</v>
      </c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7" t="s">
        <v>60</v>
      </c>
      <c r="D15" s="2" t="s">
        <v>61</v>
      </c>
      <c r="E15" s="2"/>
      <c r="F15" s="2"/>
      <c r="G15" s="2"/>
      <c r="H15" s="16" t="s">
        <v>62</v>
      </c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7" t="s">
        <v>63</v>
      </c>
      <c r="D16" s="2" t="s">
        <v>64</v>
      </c>
      <c r="E16" s="2"/>
      <c r="F16" s="2"/>
      <c r="G16" s="2"/>
      <c r="H16" s="16" t="s">
        <v>65</v>
      </c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15"/>
      <c r="C18" s="12" t="s">
        <v>66</v>
      </c>
      <c r="D18" s="12" t="s">
        <v>67</v>
      </c>
      <c r="E18" s="15"/>
      <c r="F18" s="15"/>
      <c r="G18" s="15"/>
      <c r="H18" s="12" t="s">
        <v>68</v>
      </c>
      <c r="I18" s="15"/>
      <c r="J18" s="15"/>
      <c r="K18" s="15"/>
      <c r="L18" s="15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 t="s">
        <v>69</v>
      </c>
      <c r="D20" s="17" t="n">
        <v>46150</v>
      </c>
      <c r="E20" s="2"/>
      <c r="F20" s="2"/>
      <c r="G20" s="2"/>
      <c r="H20" s="16" t="s">
        <v>70</v>
      </c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 t="s">
        <v>71</v>
      </c>
      <c r="D21" s="18" t="n">
        <v>1100</v>
      </c>
      <c r="E21" s="2"/>
      <c r="F21" s="2"/>
      <c r="G21" s="2"/>
      <c r="H21" s="16" t="s">
        <v>72</v>
      </c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 t="s">
        <v>73</v>
      </c>
      <c r="D22" s="19" t="n">
        <v>720</v>
      </c>
      <c r="E22" s="2"/>
      <c r="F22" s="2"/>
      <c r="G22" s="2"/>
      <c r="H22" s="16" t="s">
        <v>74</v>
      </c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 t="s">
        <v>75</v>
      </c>
      <c r="D23" s="20" t="n">
        <v>0.175</v>
      </c>
      <c r="E23" s="2"/>
      <c r="F23" s="2"/>
      <c r="G23" s="2"/>
      <c r="H23" s="16" t="s">
        <v>76</v>
      </c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 t="s">
        <v>77</v>
      </c>
      <c r="D24" s="21" t="n">
        <f aca="false">D22*D23</f>
        <v>126</v>
      </c>
      <c r="E24" s="2"/>
      <c r="F24" s="2"/>
      <c r="G24" s="2"/>
      <c r="H24" s="16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 t="s">
        <v>78</v>
      </c>
      <c r="D25" s="22" t="n">
        <f aca="false">D21/D24</f>
        <v>8.73015873015873</v>
      </c>
      <c r="E25" s="2"/>
      <c r="F25" s="2"/>
      <c r="G25" s="2"/>
      <c r="H25" s="16" t="s">
        <v>79</v>
      </c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 t="s">
        <v>80</v>
      </c>
      <c r="D26" s="18" t="n">
        <v>400</v>
      </c>
      <c r="E26" s="2"/>
      <c r="F26" s="2"/>
      <c r="G26" s="2"/>
      <c r="H26" s="16" t="s">
        <v>81</v>
      </c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 t="s">
        <v>82</v>
      </c>
      <c r="D27" s="20" t="n">
        <v>0.074</v>
      </c>
      <c r="E27" s="2"/>
      <c r="F27" s="2"/>
      <c r="G27" s="2"/>
      <c r="H27" s="16" t="s">
        <v>83</v>
      </c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 t="s">
        <v>84</v>
      </c>
      <c r="D28" s="20" t="n">
        <v>0.02</v>
      </c>
      <c r="E28" s="2"/>
      <c r="F28" s="2"/>
      <c r="G28" s="2"/>
      <c r="H28" s="16" t="s">
        <v>85</v>
      </c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 t="s">
        <v>86</v>
      </c>
      <c r="D29" s="23" t="n">
        <f aca="false">D26*D27</f>
        <v>29.6</v>
      </c>
      <c r="E29" s="2"/>
      <c r="F29" s="2"/>
      <c r="G29" s="2"/>
      <c r="H29" s="16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 t="s">
        <v>87</v>
      </c>
      <c r="D30" s="23" t="n">
        <f aca="false">D24-D29</f>
        <v>96.4</v>
      </c>
      <c r="E30" s="2"/>
      <c r="F30" s="2"/>
      <c r="G30" s="2"/>
      <c r="H30" s="16" t="s">
        <v>88</v>
      </c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 t="s">
        <v>89</v>
      </c>
      <c r="D31" s="23" t="n">
        <f aca="false">D21-D26</f>
        <v>700</v>
      </c>
      <c r="E31" s="2"/>
      <c r="F31" s="2"/>
      <c r="G31" s="2"/>
      <c r="H31" s="16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 t="s">
        <v>90</v>
      </c>
      <c r="D32" s="22" t="n">
        <f aca="false">D31/D30</f>
        <v>7.26141078838174</v>
      </c>
      <c r="E32" s="2"/>
      <c r="F32" s="2"/>
      <c r="G32" s="2"/>
      <c r="H32" s="16" t="s">
        <v>91</v>
      </c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 t="s">
        <v>92</v>
      </c>
      <c r="D33" s="24" t="n">
        <v>0.02</v>
      </c>
      <c r="E33" s="2"/>
      <c r="F33" s="2"/>
      <c r="G33" s="2"/>
      <c r="H33" s="16" t="s">
        <v>93</v>
      </c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 t="s">
        <v>94</v>
      </c>
      <c r="D34" s="18" t="n">
        <v>15</v>
      </c>
      <c r="E34" s="2"/>
      <c r="F34" s="2"/>
      <c r="G34" s="2"/>
      <c r="H34" s="16" t="s">
        <v>95</v>
      </c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 t="s">
        <v>96</v>
      </c>
      <c r="D35" s="24" t="n">
        <v>0.25</v>
      </c>
      <c r="E35" s="2"/>
      <c r="F35" s="2"/>
      <c r="G35" s="2"/>
      <c r="H35" s="16" t="s">
        <v>97</v>
      </c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 t="s">
        <v>98</v>
      </c>
      <c r="D36" s="18" t="n">
        <v>1650</v>
      </c>
      <c r="E36" s="2"/>
      <c r="F36" s="2"/>
      <c r="G36" s="2"/>
      <c r="H36" s="16" t="s">
        <v>99</v>
      </c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15"/>
      <c r="C38" s="12" t="s">
        <v>100</v>
      </c>
      <c r="D38" s="15"/>
      <c r="E38" s="15"/>
      <c r="F38" s="15"/>
      <c r="G38" s="15"/>
      <c r="H38" s="15"/>
      <c r="I38" s="15"/>
      <c r="J38" s="15"/>
      <c r="K38" s="15"/>
      <c r="L38" s="15"/>
      <c r="M38" s="2"/>
      <c r="N38" s="2"/>
    </row>
    <row r="39" customFormat="false" ht="15" hidden="false" customHeight="false" outlineLevel="0" collapsed="false">
      <c r="A39" s="2"/>
      <c r="B39" s="2"/>
      <c r="C39" s="25" t="s">
        <v>101</v>
      </c>
      <c r="D39" s="26" t="s">
        <v>102</v>
      </c>
      <c r="E39" s="26" t="s">
        <v>103</v>
      </c>
      <c r="F39" s="26" t="s">
        <v>104</v>
      </c>
      <c r="G39" s="26" t="s">
        <v>105</v>
      </c>
      <c r="H39" s="25" t="s">
        <v>106</v>
      </c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 t="s">
        <v>107</v>
      </c>
      <c r="D40" s="18" t="n">
        <v>175</v>
      </c>
      <c r="E40" s="18" t="n">
        <v>75</v>
      </c>
      <c r="F40" s="10" t="str">
        <f aca="false">"SOFR + "&amp;TEXT('Debt Waterfall'!G33,"0.00%")</f>
        <v>SOFR + 1.75%</v>
      </c>
      <c r="G40" s="27" t="n">
        <v>0.01</v>
      </c>
      <c r="H40" s="16" t="s">
        <v>108</v>
      </c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 t="s">
        <v>109</v>
      </c>
      <c r="D41" s="18" t="n">
        <v>375</v>
      </c>
      <c r="E41" s="23" t="n">
        <f aca="false">D41</f>
        <v>375</v>
      </c>
      <c r="F41" s="10" t="str">
        <f aca="false">"SOFR + "&amp;TEXT('Debt Waterfall'!G53,"0.00%")</f>
        <v>SOFR + 5.25%</v>
      </c>
      <c r="G41" s="27" t="n">
        <v>0.025</v>
      </c>
      <c r="H41" s="16" t="s">
        <v>110</v>
      </c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 t="s">
        <v>111</v>
      </c>
      <c r="D42" s="23" t="n">
        <f aca="false">D26</f>
        <v>400</v>
      </c>
      <c r="E42" s="23" t="n">
        <f aca="false">D26</f>
        <v>400</v>
      </c>
      <c r="F42" s="10" t="str">
        <f aca="false">TEXT(D27,"0.0%")&amp;" cap rate"</f>
        <v>7.4% cap rate</v>
      </c>
      <c r="G42" s="2"/>
      <c r="H42" s="16" t="s">
        <v>112</v>
      </c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15"/>
      <c r="C44" s="12" t="s">
        <v>113</v>
      </c>
      <c r="D44" s="15"/>
      <c r="E44" s="15"/>
      <c r="F44" s="15"/>
      <c r="G44" s="15"/>
      <c r="H44" s="15"/>
      <c r="I44" s="15"/>
      <c r="J44" s="15"/>
      <c r="K44" s="15"/>
      <c r="L44" s="15"/>
      <c r="M44" s="2"/>
      <c r="N44" s="2"/>
    </row>
    <row r="45" customFormat="false" ht="15" hidden="false" customHeight="false" outlineLevel="0" collapsed="false">
      <c r="A45" s="2"/>
      <c r="B45" s="2"/>
      <c r="C45" s="25" t="s">
        <v>114</v>
      </c>
      <c r="D45" s="26" t="s">
        <v>115</v>
      </c>
      <c r="E45" s="26" t="s">
        <v>116</v>
      </c>
      <c r="F45" s="26" t="s">
        <v>117</v>
      </c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 t="s">
        <v>118</v>
      </c>
      <c r="D46" s="23" t="n">
        <f aca="false">E40</f>
        <v>75</v>
      </c>
      <c r="E46" s="28" t="n">
        <f aca="false">D46/D$50</f>
        <v>0.065323897659227</v>
      </c>
      <c r="F46" s="22" t="n">
        <f aca="false">D46/$D$30</f>
        <v>0.778008298755187</v>
      </c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 t="s">
        <v>119</v>
      </c>
      <c r="D47" s="23" t="n">
        <f aca="false">E41</f>
        <v>375</v>
      </c>
      <c r="E47" s="28" t="n">
        <f aca="false">D47/D$50</f>
        <v>0.326619488296135</v>
      </c>
      <c r="F47" s="22" t="n">
        <f aca="false">D47/$D$30</f>
        <v>3.89004149377593</v>
      </c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 t="s">
        <v>80</v>
      </c>
      <c r="D48" s="23" t="n">
        <f aca="false">D26</f>
        <v>400</v>
      </c>
      <c r="E48" s="28" t="n">
        <f aca="false">D48/D$50</f>
        <v>0.348394120849211</v>
      </c>
      <c r="F48" s="22" t="n">
        <f aca="false">D48/$D$30</f>
        <v>4.149377593361</v>
      </c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 t="s">
        <v>120</v>
      </c>
      <c r="D49" s="23" t="n">
        <f aca="false">D58-D46-D47-D48</f>
        <v>298.125</v>
      </c>
      <c r="E49" s="28" t="n">
        <f aca="false">D49/D$50</f>
        <v>0.259662493195427</v>
      </c>
      <c r="F49" s="22" t="n">
        <f aca="false">D49/$D$30</f>
        <v>3.09258298755187</v>
      </c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9" t="s">
        <v>121</v>
      </c>
      <c r="D50" s="30" t="n">
        <f aca="false">SUM(D46:D49)</f>
        <v>1148.125</v>
      </c>
      <c r="E50" s="31" t="n">
        <f aca="false">SUM(E46:E49)</f>
        <v>1</v>
      </c>
      <c r="F50" s="32" t="n">
        <f aca="false">D50/$D$30</f>
        <v>11.910010373444</v>
      </c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5" t="s">
        <v>122</v>
      </c>
      <c r="D52" s="26" t="s">
        <v>115</v>
      </c>
      <c r="E52" s="26" t="s">
        <v>116</v>
      </c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 t="s">
        <v>123</v>
      </c>
      <c r="D53" s="23" t="n">
        <f aca="false">D21</f>
        <v>1100</v>
      </c>
      <c r="E53" s="28" t="n">
        <f aca="false">D53/D$58</f>
        <v>0.958083832335329</v>
      </c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 t="s">
        <v>124</v>
      </c>
      <c r="D54" s="23" t="n">
        <f aca="false">D21*D33</f>
        <v>22</v>
      </c>
      <c r="E54" s="28" t="n">
        <f aca="false">D54/D$58</f>
        <v>0.0191616766467066</v>
      </c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 t="s">
        <v>125</v>
      </c>
      <c r="D55" s="23" t="n">
        <f aca="false">D40*G40</f>
        <v>1.75</v>
      </c>
      <c r="E55" s="28" t="n">
        <f aca="false">D55/D$58</f>
        <v>0.0015242242787153</v>
      </c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 t="s">
        <v>126</v>
      </c>
      <c r="D56" s="23" t="n">
        <f aca="false">E41*G41</f>
        <v>9.375</v>
      </c>
      <c r="E56" s="28" t="n">
        <f aca="false">D56/D$58</f>
        <v>0.00816548720740338</v>
      </c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 t="s">
        <v>127</v>
      </c>
      <c r="D57" s="23" t="n">
        <f aca="false">D34</f>
        <v>15</v>
      </c>
      <c r="E57" s="28" t="n">
        <f aca="false">D57/D$58</f>
        <v>0.0130647795318454</v>
      </c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9" t="s">
        <v>128</v>
      </c>
      <c r="D58" s="30" t="n">
        <f aca="false">SUM(D53:D57)</f>
        <v>1148.125</v>
      </c>
      <c r="E58" s="31" t="n">
        <f aca="false">SUM(E53:E57)</f>
        <v>1</v>
      </c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15"/>
      <c r="C60" s="12" t="s">
        <v>129</v>
      </c>
      <c r="D60" s="15"/>
      <c r="E60" s="15"/>
      <c r="F60" s="15"/>
      <c r="G60" s="15"/>
      <c r="H60" s="15"/>
      <c r="I60" s="15"/>
      <c r="J60" s="15"/>
      <c r="K60" s="15"/>
      <c r="L60" s="15"/>
      <c r="M60" s="2"/>
      <c r="N60" s="2"/>
    </row>
    <row r="61" customFormat="false" ht="15" hidden="false" customHeight="false" outlineLevel="0" collapsed="false">
      <c r="A61" s="2"/>
      <c r="B61" s="2"/>
      <c r="C61" s="2" t="s">
        <v>130</v>
      </c>
      <c r="D61" s="23" t="n">
        <f aca="false">D46+D47</f>
        <v>450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 t="s">
        <v>131</v>
      </c>
      <c r="D62" s="22" t="n">
        <f aca="false">D61/D30</f>
        <v>4.66804979253112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 t="s">
        <v>132</v>
      </c>
      <c r="D63" s="23" t="n">
        <f aca="false">D61+8*D29</f>
        <v>686.8</v>
      </c>
      <c r="E63" s="2"/>
      <c r="F63" s="2"/>
      <c r="G63" s="2"/>
      <c r="H63" s="16" t="s">
        <v>133</v>
      </c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 t="s">
        <v>134</v>
      </c>
      <c r="D64" s="22" t="n">
        <f aca="false">D63/D24</f>
        <v>5.45079365079365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 t="s">
        <v>135</v>
      </c>
      <c r="D65" s="28" t="n">
        <f aca="false">D49/(D49+D61)</f>
        <v>0.398496240601504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 t="s">
        <v>136</v>
      </c>
      <c r="D66" s="28" t="n">
        <f aca="false">D49/D36</f>
        <v>0.180681818181818</v>
      </c>
      <c r="E66" s="2"/>
      <c r="F66" s="2"/>
      <c r="G66" s="2"/>
      <c r="H66" s="16" t="s">
        <v>137</v>
      </c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 t="s">
        <v>138</v>
      </c>
      <c r="D67" s="23" t="n">
        <f aca="false">D50-D58</f>
        <v>0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4"/>
    <col collapsed="false" customWidth="true" hidden="false" outlineLevel="0" max="4" min="4" style="1" width="4"/>
    <col collapsed="false" customWidth="true" hidden="false" outlineLevel="0" max="5" min="5" style="1" width="12"/>
    <col collapsed="false" customWidth="true" hidden="false" outlineLevel="0" max="11" min="6" style="1" width="11"/>
    <col collapsed="false" customWidth="true" hidden="false" outlineLevel="0" max="12" min="12" style="1" width="2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2"/>
      <c r="B2" s="2"/>
      <c r="C2" s="6" t="s">
        <v>139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14" t="s">
        <v>140</v>
      </c>
      <c r="D3" s="2"/>
      <c r="E3" s="2" t="s">
        <v>141</v>
      </c>
      <c r="F3" s="33" t="s">
        <v>142</v>
      </c>
      <c r="G3" s="34" t="s">
        <v>143</v>
      </c>
      <c r="H3" s="34" t="s">
        <v>144</v>
      </c>
      <c r="I3" s="34" t="s">
        <v>145</v>
      </c>
      <c r="J3" s="34" t="s">
        <v>146</v>
      </c>
      <c r="K3" s="34" t="s">
        <v>147</v>
      </c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 t="s">
        <v>148</v>
      </c>
      <c r="F4" s="2"/>
      <c r="G4" s="35" t="n">
        <f aca="false">F5</f>
        <v>46150</v>
      </c>
      <c r="H4" s="35" t="n">
        <f aca="false">G5+1</f>
        <v>46515</v>
      </c>
      <c r="I4" s="35" t="n">
        <f aca="false">H5+1</f>
        <v>46881</v>
      </c>
      <c r="J4" s="35" t="n">
        <f aca="false">I5+1</f>
        <v>47246</v>
      </c>
      <c r="K4" s="35" t="n">
        <f aca="false">J5+1</f>
        <v>47611</v>
      </c>
      <c r="L4" s="2"/>
      <c r="M4" s="2"/>
      <c r="N4" s="2"/>
    </row>
    <row r="5" customFormat="false" ht="15" hidden="false" customHeight="false" outlineLevel="0" collapsed="false">
      <c r="A5" s="2"/>
      <c r="B5" s="2"/>
      <c r="C5" s="2"/>
      <c r="D5" s="2"/>
      <c r="E5" s="2" t="s">
        <v>149</v>
      </c>
      <c r="F5" s="36" t="n">
        <f aca="false">Transaction!$D$20</f>
        <v>46150</v>
      </c>
      <c r="G5" s="35" t="n">
        <f aca="false">EDATE(G4,12)-1</f>
        <v>46514</v>
      </c>
      <c r="H5" s="35" t="n">
        <f aca="false">EDATE(H4,12)-1</f>
        <v>46880</v>
      </c>
      <c r="I5" s="35" t="n">
        <f aca="false">EDATE(I4,12)-1</f>
        <v>47245</v>
      </c>
      <c r="J5" s="35" t="n">
        <f aca="false">EDATE(J4,12)-1</f>
        <v>47610</v>
      </c>
      <c r="K5" s="35" t="n">
        <f aca="false">EDATE(K4,12)-1</f>
        <v>47975</v>
      </c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37" t="s">
        <v>150</v>
      </c>
      <c r="F6" s="37"/>
      <c r="G6" s="38" t="n">
        <f aca="false">G5-G4+1</f>
        <v>365</v>
      </c>
      <c r="H6" s="38" t="n">
        <f aca="false">H5-H4+1</f>
        <v>366</v>
      </c>
      <c r="I6" s="38" t="n">
        <f aca="false">I5-I4+1</f>
        <v>365</v>
      </c>
      <c r="J6" s="38" t="n">
        <f aca="false">J5-J4+1</f>
        <v>365</v>
      </c>
      <c r="K6" s="38" t="n">
        <f aca="false">K5-K4+1</f>
        <v>365</v>
      </c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15"/>
      <c r="C8" s="12" t="s">
        <v>151</v>
      </c>
      <c r="D8" s="15"/>
      <c r="E8" s="15"/>
      <c r="F8" s="15"/>
      <c r="G8" s="15"/>
      <c r="H8" s="15"/>
      <c r="I8" s="15"/>
      <c r="J8" s="15"/>
      <c r="K8" s="15"/>
      <c r="L8" s="15"/>
      <c r="M8" s="2"/>
      <c r="N8" s="2"/>
    </row>
    <row r="9" customFormat="false" ht="15" hidden="false" customHeight="false" outlineLevel="0" collapsed="false">
      <c r="A9" s="2"/>
      <c r="B9" s="2"/>
      <c r="C9" s="7" t="s">
        <v>152</v>
      </c>
      <c r="D9" s="2"/>
      <c r="E9" s="2"/>
      <c r="F9" s="39" t="n">
        <f aca="false">Transaction!$D$22</f>
        <v>720</v>
      </c>
      <c r="G9" s="40" t="n">
        <f aca="false">F9*(1+G10)</f>
        <v>748.8</v>
      </c>
      <c r="H9" s="40" t="n">
        <f aca="false">G9*(1+H10)</f>
        <v>782.496</v>
      </c>
      <c r="I9" s="40" t="n">
        <f aca="false">H9*(1+I10)</f>
        <v>821.6208</v>
      </c>
      <c r="J9" s="40" t="n">
        <f aca="false">I9*(1+J10)</f>
        <v>862.70184</v>
      </c>
      <c r="K9" s="40" t="n">
        <f aca="false">J9*(1+K10)</f>
        <v>905.836932</v>
      </c>
      <c r="L9" s="2"/>
      <c r="M9" s="2"/>
      <c r="N9" s="2"/>
    </row>
    <row r="10" customFormat="false" ht="15" hidden="false" customHeight="false" outlineLevel="0" collapsed="false">
      <c r="A10" s="2"/>
      <c r="B10" s="2"/>
      <c r="C10" s="14" t="s">
        <v>153</v>
      </c>
      <c r="D10" s="2"/>
      <c r="E10" s="2"/>
      <c r="F10" s="2"/>
      <c r="G10" s="20" t="n">
        <v>0.04</v>
      </c>
      <c r="H10" s="20" t="n">
        <v>0.045</v>
      </c>
      <c r="I10" s="20" t="n">
        <v>0.05</v>
      </c>
      <c r="J10" s="20" t="n">
        <v>0.05</v>
      </c>
      <c r="K10" s="20" t="n">
        <v>0.05</v>
      </c>
      <c r="L10" s="2"/>
      <c r="M10" s="2"/>
      <c r="N10" s="2"/>
    </row>
    <row r="11" customFormat="false" ht="15" hidden="false" customHeight="false" outlineLevel="0" collapsed="false">
      <c r="A11" s="2"/>
      <c r="B11" s="2"/>
      <c r="C11" s="14" t="s">
        <v>154</v>
      </c>
      <c r="D11" s="2"/>
      <c r="E11" s="2"/>
      <c r="F11" s="41" t="n">
        <f aca="false">Transaction!$D$23</f>
        <v>0.175</v>
      </c>
      <c r="G11" s="20" t="n">
        <v>0.1775</v>
      </c>
      <c r="H11" s="20" t="n">
        <v>0.1825</v>
      </c>
      <c r="I11" s="20" t="n">
        <v>0.1875</v>
      </c>
      <c r="J11" s="20" t="n">
        <v>0.1925</v>
      </c>
      <c r="K11" s="20" t="n">
        <v>0.195</v>
      </c>
      <c r="L11" s="2"/>
      <c r="M11" s="2"/>
      <c r="N11" s="2"/>
    </row>
    <row r="12" customFormat="false" ht="15" hidden="false" customHeight="false" outlineLevel="0" collapsed="false">
      <c r="A12" s="2"/>
      <c r="B12" s="2"/>
      <c r="C12" s="42" t="s">
        <v>155</v>
      </c>
      <c r="D12" s="2"/>
      <c r="E12" s="2"/>
      <c r="F12" s="21" t="n">
        <f aca="false">F9*F11</f>
        <v>126</v>
      </c>
      <c r="G12" s="21" t="n">
        <f aca="false">G9*G11</f>
        <v>132.912</v>
      </c>
      <c r="H12" s="21" t="n">
        <f aca="false">H9*H11</f>
        <v>142.80552</v>
      </c>
      <c r="I12" s="21" t="n">
        <f aca="false">I9*I11</f>
        <v>154.0539</v>
      </c>
      <c r="J12" s="21" t="n">
        <f aca="false">J9*J11</f>
        <v>166.0701042</v>
      </c>
      <c r="K12" s="21" t="n">
        <f aca="false">K9*K11</f>
        <v>176.63820174</v>
      </c>
      <c r="L12" s="2"/>
      <c r="M12" s="2"/>
      <c r="N12" s="2"/>
    </row>
    <row r="13" customFormat="false" ht="15" hidden="false" customHeight="false" outlineLevel="0" collapsed="false">
      <c r="A13" s="2"/>
      <c r="B13" s="2"/>
      <c r="C13" s="2" t="s">
        <v>156</v>
      </c>
      <c r="D13" s="2"/>
      <c r="E13" s="2"/>
      <c r="F13" s="43" t="n">
        <f aca="false">-Transaction!$D$29</f>
        <v>-29.6</v>
      </c>
      <c r="G13" s="43" t="n">
        <f aca="false">-Transaction!$D$29</f>
        <v>-29.6</v>
      </c>
      <c r="H13" s="23" t="n">
        <f aca="false">G13*(1+Transaction!$D$28)</f>
        <v>-30.192</v>
      </c>
      <c r="I13" s="23" t="n">
        <f aca="false">H13*(1+Transaction!$D$28)</f>
        <v>-30.79584</v>
      </c>
      <c r="J13" s="23" t="n">
        <f aca="false">I13*(1+Transaction!$D$28)</f>
        <v>-31.4117568</v>
      </c>
      <c r="K13" s="23" t="n">
        <f aca="false">J13*(1+Transaction!$D$28)</f>
        <v>-32.039991936</v>
      </c>
      <c r="L13" s="2"/>
      <c r="M13" s="2"/>
      <c r="N13" s="2"/>
    </row>
    <row r="14" customFormat="false" ht="15" hidden="false" customHeight="false" outlineLevel="0" collapsed="false">
      <c r="A14" s="2"/>
      <c r="B14" s="2"/>
      <c r="C14" s="29" t="s">
        <v>157</v>
      </c>
      <c r="D14" s="2"/>
      <c r="E14" s="2"/>
      <c r="F14" s="30" t="n">
        <f aca="false">F12+F13</f>
        <v>96.4</v>
      </c>
      <c r="G14" s="30" t="n">
        <f aca="false">G12+G13</f>
        <v>103.312</v>
      </c>
      <c r="H14" s="30" t="n">
        <f aca="false">H12+H13</f>
        <v>112.61352</v>
      </c>
      <c r="I14" s="30" t="n">
        <f aca="false">I12+I13</f>
        <v>123.25806</v>
      </c>
      <c r="J14" s="30" t="n">
        <f aca="false">J12+J13</f>
        <v>134.6583474</v>
      </c>
      <c r="K14" s="30" t="n">
        <f aca="false">K12+K13</f>
        <v>144.598209804</v>
      </c>
      <c r="L14" s="2"/>
      <c r="M14" s="2"/>
      <c r="N14" s="2"/>
    </row>
    <row r="15" customFormat="false" ht="15" hidden="false" customHeight="false" outlineLevel="0" collapsed="false">
      <c r="A15" s="2"/>
      <c r="B15" s="2"/>
      <c r="C15" s="14" t="s">
        <v>158</v>
      </c>
      <c r="D15" s="2"/>
      <c r="E15" s="2"/>
      <c r="F15" s="44" t="n">
        <f aca="false">F14/F9</f>
        <v>0.133888888888889</v>
      </c>
      <c r="G15" s="44" t="n">
        <f aca="false">G14/G9</f>
        <v>0.137970085470085</v>
      </c>
      <c r="H15" s="44" t="n">
        <f aca="false">H14/H9</f>
        <v>0.143915777205251</v>
      </c>
      <c r="I15" s="44" t="n">
        <f aca="false">I14/I9</f>
        <v>0.150018183570815</v>
      </c>
      <c r="J15" s="44" t="n">
        <f aca="false">J14/J9</f>
        <v>0.156089092611649</v>
      </c>
      <c r="K15" s="44" t="n">
        <f aca="false">K14/K9</f>
        <v>0.159629404251316</v>
      </c>
      <c r="L15" s="2"/>
      <c r="M15" s="2"/>
      <c r="N15" s="2"/>
    </row>
    <row r="16" customFormat="false" ht="15" hidden="false" customHeight="false" outlineLevel="0" collapsed="false">
      <c r="A16" s="2"/>
      <c r="B16" s="2"/>
      <c r="C16" s="2" t="s">
        <v>159</v>
      </c>
      <c r="D16" s="2"/>
      <c r="E16" s="2"/>
      <c r="F16" s="2"/>
      <c r="G16" s="19" t="n">
        <v>-12</v>
      </c>
      <c r="H16" s="19" t="n">
        <v>-5</v>
      </c>
      <c r="I16" s="19" t="n">
        <v>0</v>
      </c>
      <c r="J16" s="19" t="n">
        <v>0</v>
      </c>
      <c r="K16" s="19" t="n">
        <v>0</v>
      </c>
      <c r="L16" s="2"/>
      <c r="M16" s="2"/>
      <c r="N16" s="2"/>
    </row>
    <row r="17" customFormat="false" ht="15" hidden="false" customHeight="false" outlineLevel="0" collapsed="false">
      <c r="A17" s="2"/>
      <c r="B17" s="2"/>
      <c r="C17" s="2" t="s">
        <v>160</v>
      </c>
      <c r="D17" s="2"/>
      <c r="E17" s="2"/>
      <c r="F17" s="2"/>
      <c r="G17" s="23" t="n">
        <f aca="false">-G9*G18</f>
        <v>-18.72</v>
      </c>
      <c r="H17" s="23" t="n">
        <f aca="false">-H9*H18</f>
        <v>-19.5624</v>
      </c>
      <c r="I17" s="23" t="n">
        <f aca="false">-I9*I18</f>
        <v>-20.54052</v>
      </c>
      <c r="J17" s="23" t="n">
        <f aca="false">-J9*J18</f>
        <v>-21.567546</v>
      </c>
      <c r="K17" s="23" t="n">
        <f aca="false">-K9*K18</f>
        <v>-22.6459233</v>
      </c>
      <c r="L17" s="2"/>
      <c r="M17" s="2"/>
      <c r="N17" s="2"/>
    </row>
    <row r="18" customFormat="false" ht="15" hidden="false" customHeight="false" outlineLevel="0" collapsed="false">
      <c r="A18" s="2"/>
      <c r="B18" s="2"/>
      <c r="C18" s="14" t="s">
        <v>161</v>
      </c>
      <c r="D18" s="2"/>
      <c r="E18" s="2"/>
      <c r="F18" s="2"/>
      <c r="G18" s="20" t="n">
        <v>0.025</v>
      </c>
      <c r="H18" s="20" t="n">
        <v>0.025</v>
      </c>
      <c r="I18" s="20" t="n">
        <v>0.025</v>
      </c>
      <c r="J18" s="20" t="n">
        <v>0.025</v>
      </c>
      <c r="K18" s="20" t="n">
        <v>0.025</v>
      </c>
      <c r="L18" s="2"/>
      <c r="M18" s="2"/>
      <c r="N18" s="2"/>
    </row>
    <row r="19" customFormat="false" ht="15" hidden="false" customHeight="false" outlineLevel="0" collapsed="false">
      <c r="A19" s="2"/>
      <c r="B19" s="2"/>
      <c r="C19" s="29" t="s">
        <v>162</v>
      </c>
      <c r="D19" s="2"/>
      <c r="E19" s="2"/>
      <c r="F19" s="2"/>
      <c r="G19" s="30" t="n">
        <f aca="false">G14+G16+G17</f>
        <v>72.592</v>
      </c>
      <c r="H19" s="30" t="n">
        <f aca="false">H14+H16+H17</f>
        <v>88.05112</v>
      </c>
      <c r="I19" s="30" t="n">
        <f aca="false">I14+I16+I17</f>
        <v>102.71754</v>
      </c>
      <c r="J19" s="30" t="n">
        <f aca="false">J14+J16+J17</f>
        <v>113.0908014</v>
      </c>
      <c r="K19" s="30" t="n">
        <f aca="false">K14+K16+K17</f>
        <v>121.952286504</v>
      </c>
      <c r="L19" s="2"/>
      <c r="M19" s="2"/>
      <c r="N19" s="2"/>
    </row>
    <row r="20" customFormat="false" ht="15" hidden="false" customHeight="false" outlineLevel="0" collapsed="false">
      <c r="A20" s="2"/>
      <c r="B20" s="2"/>
      <c r="C20" s="2" t="s">
        <v>163</v>
      </c>
      <c r="D20" s="2"/>
      <c r="E20" s="2"/>
      <c r="F20" s="2"/>
      <c r="G20" s="43" t="n">
        <f aca="false">'Debt Waterfall'!G17</f>
        <v>-38.3303229508719</v>
      </c>
      <c r="H20" s="43" t="n">
        <f aca="false">'Debt Waterfall'!H17</f>
        <v>-35.8698609914447</v>
      </c>
      <c r="I20" s="43" t="n">
        <f aca="false">'Debt Waterfall'!I17</f>
        <v>-33.0333924584968</v>
      </c>
      <c r="J20" s="43" t="n">
        <f aca="false">'Debt Waterfall'!J17</f>
        <v>-29.8620085640449</v>
      </c>
      <c r="K20" s="43" t="n">
        <f aca="false">'Debt Waterfall'!K17</f>
        <v>-25.3601331772902</v>
      </c>
      <c r="L20" s="2"/>
      <c r="M20" s="2"/>
      <c r="N20" s="2"/>
    </row>
    <row r="21" customFormat="false" ht="15" hidden="false" customHeight="false" outlineLevel="0" collapsed="false">
      <c r="A21" s="2"/>
      <c r="B21" s="2"/>
      <c r="C21" s="42" t="s">
        <v>164</v>
      </c>
      <c r="D21" s="2"/>
      <c r="E21" s="2"/>
      <c r="F21" s="2"/>
      <c r="G21" s="21" t="n">
        <f aca="false">G19+G20</f>
        <v>34.2616770491299</v>
      </c>
      <c r="H21" s="21" t="n">
        <f aca="false">H19+H20</f>
        <v>52.1812590085499</v>
      </c>
      <c r="I21" s="21" t="n">
        <f aca="false">I19+I20</f>
        <v>69.6841475415009</v>
      </c>
      <c r="J21" s="21" t="n">
        <f aca="false">J19+J20</f>
        <v>83.2287928358808</v>
      </c>
      <c r="K21" s="21" t="n">
        <f aca="false">K19+K20</f>
        <v>96.5921533261503</v>
      </c>
      <c r="L21" s="2"/>
      <c r="M21" s="2"/>
      <c r="N21" s="2"/>
    </row>
    <row r="22" customFormat="false" ht="15" hidden="false" customHeight="false" outlineLevel="0" collapsed="false">
      <c r="A22" s="2"/>
      <c r="B22" s="2"/>
      <c r="C22" s="2" t="s">
        <v>165</v>
      </c>
      <c r="D22" s="2"/>
      <c r="E22" s="2"/>
      <c r="F22" s="2"/>
      <c r="G22" s="23" t="n">
        <f aca="false">-MAX(0,G21*Transaction!$D$35)</f>
        <v>-8.56541926228248</v>
      </c>
      <c r="H22" s="23" t="n">
        <f aca="false">-MAX(0,H21*Transaction!$D$35)</f>
        <v>-13.0453147521375</v>
      </c>
      <c r="I22" s="23" t="n">
        <f aca="false">-MAX(0,I21*Transaction!$D$35)</f>
        <v>-17.4210368853752</v>
      </c>
      <c r="J22" s="23" t="n">
        <f aca="false">-MAX(0,J21*Transaction!$D$35)</f>
        <v>-20.8071982089702</v>
      </c>
      <c r="K22" s="23" t="n">
        <f aca="false">-MAX(0,K21*Transaction!$D$35)</f>
        <v>-24.1480383315376</v>
      </c>
      <c r="L22" s="2"/>
      <c r="M22" s="2"/>
      <c r="N22" s="2"/>
    </row>
    <row r="23" customFormat="false" ht="15" hidden="false" customHeight="false" outlineLevel="0" collapsed="false">
      <c r="A23" s="2"/>
      <c r="B23" s="2"/>
      <c r="C23" s="29" t="s">
        <v>166</v>
      </c>
      <c r="D23" s="2"/>
      <c r="E23" s="2"/>
      <c r="F23" s="2"/>
      <c r="G23" s="30" t="n">
        <f aca="false">G21+G22</f>
        <v>25.6962577868474</v>
      </c>
      <c r="H23" s="30" t="n">
        <f aca="false">H21+H22</f>
        <v>39.1359442564124</v>
      </c>
      <c r="I23" s="30" t="n">
        <f aca="false">I21+I22</f>
        <v>52.2631106561257</v>
      </c>
      <c r="J23" s="30" t="n">
        <f aca="false">J21+J22</f>
        <v>62.4215946269106</v>
      </c>
      <c r="K23" s="30" t="n">
        <f aca="false">K21+K22</f>
        <v>72.4441149946127</v>
      </c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15"/>
      <c r="C25" s="12" t="s">
        <v>167</v>
      </c>
      <c r="D25" s="15"/>
      <c r="E25" s="15"/>
      <c r="F25" s="15"/>
      <c r="G25" s="15"/>
      <c r="H25" s="15"/>
      <c r="I25" s="15"/>
      <c r="J25" s="15"/>
      <c r="K25" s="15"/>
      <c r="L25" s="15"/>
      <c r="M25" s="2"/>
      <c r="N25" s="2"/>
    </row>
    <row r="26" customFormat="false" ht="15" hidden="false" customHeight="false" outlineLevel="0" collapsed="false">
      <c r="A26" s="2"/>
      <c r="B26" s="2"/>
      <c r="C26" s="2" t="s">
        <v>157</v>
      </c>
      <c r="D26" s="2"/>
      <c r="E26" s="2"/>
      <c r="F26" s="2"/>
      <c r="G26" s="23" t="n">
        <f aca="false">G14</f>
        <v>103.312</v>
      </c>
      <c r="H26" s="23" t="n">
        <f aca="false">H14</f>
        <v>112.61352</v>
      </c>
      <c r="I26" s="23" t="n">
        <f aca="false">I14</f>
        <v>123.25806</v>
      </c>
      <c r="J26" s="23" t="n">
        <f aca="false">J14</f>
        <v>134.6583474</v>
      </c>
      <c r="K26" s="23" t="n">
        <f aca="false">K14</f>
        <v>144.598209804</v>
      </c>
      <c r="L26" s="2"/>
      <c r="M26" s="2"/>
      <c r="N26" s="2"/>
    </row>
    <row r="27" customFormat="false" ht="15" hidden="false" customHeight="false" outlineLevel="0" collapsed="false">
      <c r="A27" s="2"/>
      <c r="B27" s="2"/>
      <c r="C27" s="2" t="s">
        <v>168</v>
      </c>
      <c r="D27" s="2"/>
      <c r="E27" s="2"/>
      <c r="F27" s="2"/>
      <c r="G27" s="23" t="n">
        <f aca="false">G16</f>
        <v>-12</v>
      </c>
      <c r="H27" s="23" t="n">
        <f aca="false">H16</f>
        <v>-5</v>
      </c>
      <c r="I27" s="23" t="n">
        <f aca="false">I16</f>
        <v>0</v>
      </c>
      <c r="J27" s="23" t="n">
        <f aca="false">J16</f>
        <v>0</v>
      </c>
      <c r="K27" s="23" t="n">
        <f aca="false">K16</f>
        <v>0</v>
      </c>
      <c r="L27" s="2"/>
      <c r="M27" s="2"/>
      <c r="N27" s="2"/>
    </row>
    <row r="28" customFormat="false" ht="15" hidden="false" customHeight="false" outlineLevel="0" collapsed="false">
      <c r="A28" s="2"/>
      <c r="B28" s="2"/>
      <c r="C28" s="2" t="s">
        <v>169</v>
      </c>
      <c r="D28" s="2"/>
      <c r="E28" s="2"/>
      <c r="F28" s="2"/>
      <c r="G28" s="23" t="n">
        <f aca="false">G22</f>
        <v>-8.56541926228248</v>
      </c>
      <c r="H28" s="23" t="n">
        <f aca="false">H22</f>
        <v>-13.0453147521375</v>
      </c>
      <c r="I28" s="23" t="n">
        <f aca="false">I22</f>
        <v>-17.4210368853752</v>
      </c>
      <c r="J28" s="23" t="n">
        <f aca="false">J22</f>
        <v>-20.8071982089702</v>
      </c>
      <c r="K28" s="23" t="n">
        <f aca="false">K22</f>
        <v>-24.1480383315376</v>
      </c>
      <c r="L28" s="2"/>
      <c r="M28" s="2"/>
      <c r="N28" s="2"/>
    </row>
    <row r="29" customFormat="false" ht="15" hidden="false" customHeight="false" outlineLevel="0" collapsed="false">
      <c r="A29" s="2"/>
      <c r="B29" s="2"/>
      <c r="C29" s="2" t="s">
        <v>170</v>
      </c>
      <c r="D29" s="2"/>
      <c r="E29" s="2"/>
      <c r="F29" s="23" t="n">
        <f aca="false">F9*F30</f>
        <v>100.8</v>
      </c>
      <c r="G29" s="23" t="n">
        <f aca="false">G9*G30</f>
        <v>104.832</v>
      </c>
      <c r="H29" s="23" t="n">
        <f aca="false">H9*H30</f>
        <v>109.54944</v>
      </c>
      <c r="I29" s="23" t="n">
        <f aca="false">I9*I30</f>
        <v>115.026912</v>
      </c>
      <c r="J29" s="23" t="n">
        <f aca="false">J9*J30</f>
        <v>120.7782576</v>
      </c>
      <c r="K29" s="23" t="n">
        <f aca="false">K9*K30</f>
        <v>126.81717048</v>
      </c>
      <c r="L29" s="2"/>
      <c r="M29" s="2"/>
      <c r="N29" s="2"/>
    </row>
    <row r="30" customFormat="false" ht="15" hidden="false" customHeight="false" outlineLevel="0" collapsed="false">
      <c r="A30" s="2"/>
      <c r="B30" s="2"/>
      <c r="C30" s="14" t="s">
        <v>171</v>
      </c>
      <c r="D30" s="2"/>
      <c r="E30" s="2"/>
      <c r="F30" s="20" t="n">
        <v>0.14</v>
      </c>
      <c r="G30" s="20" t="n">
        <v>0.14</v>
      </c>
      <c r="H30" s="20" t="n">
        <v>0.14</v>
      </c>
      <c r="I30" s="20" t="n">
        <v>0.14</v>
      </c>
      <c r="J30" s="20" t="n">
        <v>0.14</v>
      </c>
      <c r="K30" s="20" t="n">
        <v>0.14</v>
      </c>
      <c r="L30" s="2"/>
      <c r="M30" s="2"/>
      <c r="N30" s="2"/>
    </row>
    <row r="31" customFormat="false" ht="15" hidden="false" customHeight="false" outlineLevel="0" collapsed="false">
      <c r="A31" s="2"/>
      <c r="B31" s="2"/>
      <c r="C31" s="2" t="s">
        <v>172</v>
      </c>
      <c r="D31" s="2"/>
      <c r="E31" s="2"/>
      <c r="F31" s="2"/>
      <c r="G31" s="23" t="n">
        <f aca="false">-(G29-F29)</f>
        <v>-4.03200000000001</v>
      </c>
      <c r="H31" s="23" t="n">
        <f aca="false">-(H29-G29)</f>
        <v>-4.71743999999998</v>
      </c>
      <c r="I31" s="23" t="n">
        <f aca="false">-(I29-H29)</f>
        <v>-5.47747200000001</v>
      </c>
      <c r="J31" s="23" t="n">
        <f aca="false">-(J29-I29)</f>
        <v>-5.75134560000001</v>
      </c>
      <c r="K31" s="23" t="n">
        <f aca="false">-(K29-J29)</f>
        <v>-6.03891288</v>
      </c>
      <c r="L31" s="2"/>
      <c r="M31" s="2"/>
      <c r="N31" s="2"/>
    </row>
    <row r="32" customFormat="false" ht="15" hidden="false" customHeight="false" outlineLevel="0" collapsed="false">
      <c r="A32" s="2"/>
      <c r="B32" s="2"/>
      <c r="C32" s="29" t="s">
        <v>173</v>
      </c>
      <c r="D32" s="2"/>
      <c r="E32" s="2"/>
      <c r="F32" s="2"/>
      <c r="G32" s="30" t="n">
        <f aca="false">G26+G27+G28+G31</f>
        <v>78.7145807377175</v>
      </c>
      <c r="H32" s="30" t="n">
        <f aca="false">H26+H27+H28+H31</f>
        <v>89.8507652478626</v>
      </c>
      <c r="I32" s="30" t="n">
        <f aca="false">I26+I27+I28+I31</f>
        <v>100.359551114625</v>
      </c>
      <c r="J32" s="30" t="n">
        <f aca="false">J26+J27+J28+J31</f>
        <v>108.09980359103</v>
      </c>
      <c r="K32" s="30" t="n">
        <f aca="false">K26+K27+K28+K31</f>
        <v>114.411258592462</v>
      </c>
      <c r="L32" s="2"/>
      <c r="M32" s="2"/>
      <c r="N32" s="2"/>
    </row>
    <row r="33" customFormat="false" ht="15" hidden="false" customHeight="false" outlineLevel="0" collapsed="false">
      <c r="A33" s="2"/>
      <c r="B33" s="2"/>
      <c r="C33" s="2" t="s">
        <v>174</v>
      </c>
      <c r="D33" s="2"/>
      <c r="E33" s="2"/>
      <c r="F33" s="2"/>
      <c r="G33" s="23" t="n">
        <f aca="false">-G9*G34</f>
        <v>-20.592</v>
      </c>
      <c r="H33" s="23" t="n">
        <f aca="false">-H9*H34</f>
        <v>-21.51864</v>
      </c>
      <c r="I33" s="23" t="n">
        <f aca="false">-I9*I34</f>
        <v>-22.594572</v>
      </c>
      <c r="J33" s="23" t="n">
        <f aca="false">-J9*J34</f>
        <v>-23.7243006</v>
      </c>
      <c r="K33" s="23" t="n">
        <f aca="false">-K9*K34</f>
        <v>-24.91051563</v>
      </c>
      <c r="L33" s="2"/>
      <c r="M33" s="2"/>
      <c r="N33" s="2"/>
    </row>
    <row r="34" customFormat="false" ht="15" hidden="false" customHeight="false" outlineLevel="0" collapsed="false">
      <c r="A34" s="2"/>
      <c r="B34" s="2"/>
      <c r="C34" s="14" t="s">
        <v>175</v>
      </c>
      <c r="D34" s="2"/>
      <c r="E34" s="2"/>
      <c r="F34" s="2"/>
      <c r="G34" s="20" t="n">
        <v>0.0275</v>
      </c>
      <c r="H34" s="20" t="n">
        <v>0.0275</v>
      </c>
      <c r="I34" s="20" t="n">
        <v>0.0275</v>
      </c>
      <c r="J34" s="20" t="n">
        <v>0.0275</v>
      </c>
      <c r="K34" s="20" t="n">
        <v>0.0275</v>
      </c>
      <c r="L34" s="2"/>
      <c r="M34" s="2"/>
      <c r="N34" s="2"/>
    </row>
    <row r="35" customFormat="false" ht="15" hidden="false" customHeight="false" outlineLevel="0" collapsed="false">
      <c r="A35" s="2"/>
      <c r="B35" s="2"/>
      <c r="C35" s="42" t="s">
        <v>176</v>
      </c>
      <c r="D35" s="2"/>
      <c r="E35" s="2"/>
      <c r="F35" s="2"/>
      <c r="G35" s="21" t="n">
        <f aca="false">G33</f>
        <v>-20.592</v>
      </c>
      <c r="H35" s="21" t="n">
        <f aca="false">H33</f>
        <v>-21.51864</v>
      </c>
      <c r="I35" s="21" t="n">
        <f aca="false">I33</f>
        <v>-22.594572</v>
      </c>
      <c r="J35" s="21" t="n">
        <f aca="false">J33</f>
        <v>-23.7243006</v>
      </c>
      <c r="K35" s="21" t="n">
        <f aca="false">K33</f>
        <v>-24.91051563</v>
      </c>
      <c r="L35" s="2"/>
      <c r="M35" s="2"/>
      <c r="N35" s="2"/>
    </row>
    <row r="36" customFormat="false" ht="15" hidden="false" customHeight="false" outlineLevel="0" collapsed="false">
      <c r="A36" s="2"/>
      <c r="B36" s="2"/>
      <c r="C36" s="29" t="s">
        <v>177</v>
      </c>
      <c r="D36" s="2"/>
      <c r="E36" s="2"/>
      <c r="F36" s="2"/>
      <c r="G36" s="30" t="n">
        <f aca="false">G32+G35</f>
        <v>58.1225807377175</v>
      </c>
      <c r="H36" s="30" t="n">
        <f aca="false">H32+H35</f>
        <v>68.3321252478626</v>
      </c>
      <c r="I36" s="30" t="n">
        <f aca="false">I32+I35</f>
        <v>77.7649791146248</v>
      </c>
      <c r="J36" s="30" t="n">
        <f aca="false">J32+J35</f>
        <v>84.3755029910298</v>
      </c>
      <c r="K36" s="30" t="n">
        <f aca="false">K32+K35</f>
        <v>89.5007429624624</v>
      </c>
      <c r="L36" s="2"/>
      <c r="M36" s="2"/>
      <c r="N36" s="2"/>
    </row>
    <row r="37" customFormat="false" ht="15" hidden="false" customHeight="false" outlineLevel="0" collapsed="false">
      <c r="A37" s="2"/>
      <c r="B37" s="2"/>
      <c r="C37" s="7" t="s">
        <v>178</v>
      </c>
      <c r="D37" s="2"/>
      <c r="E37" s="2"/>
      <c r="F37" s="2"/>
      <c r="G37" s="40" t="n">
        <f aca="false">G36+G20</f>
        <v>19.7922577868456</v>
      </c>
      <c r="H37" s="40" t="n">
        <f aca="false">H36+H20</f>
        <v>32.4622642564178</v>
      </c>
      <c r="I37" s="40" t="n">
        <f aca="false">I36+I20</f>
        <v>44.731586656128</v>
      </c>
      <c r="J37" s="40" t="n">
        <f aca="false">J36+J20</f>
        <v>54.5134944269849</v>
      </c>
      <c r="K37" s="40" t="n">
        <f aca="false">K36+K20</f>
        <v>64.1406097851722</v>
      </c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11" min="6" style="1" width="11"/>
    <col collapsed="false" customWidth="true" hidden="false" outlineLevel="0" max="12" min="12" style="1" width="2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2"/>
      <c r="B2" s="2"/>
      <c r="C2" s="6" t="s">
        <v>179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14" t="s">
        <v>140</v>
      </c>
      <c r="D3" s="2"/>
      <c r="E3" s="2" t="s">
        <v>141</v>
      </c>
      <c r="F3" s="11" t="str">
        <f aca="false">'Operating Model'!F3</f>
        <v>PF Close</v>
      </c>
      <c r="G3" s="11" t="str">
        <f aca="false">'Operating Model'!G3</f>
        <v>Year 1</v>
      </c>
      <c r="H3" s="11" t="str">
        <f aca="false">'Operating Model'!H3</f>
        <v>Year 2</v>
      </c>
      <c r="I3" s="11" t="str">
        <f aca="false">'Operating Model'!I3</f>
        <v>Year 3</v>
      </c>
      <c r="J3" s="11" t="str">
        <f aca="false">'Operating Model'!J3</f>
        <v>Year 4</v>
      </c>
      <c r="K3" s="11" t="str">
        <f aca="false">'Operating Model'!K3</f>
        <v>Year 5</v>
      </c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 t="s">
        <v>148</v>
      </c>
      <c r="F4" s="2"/>
      <c r="G4" s="36" t="n">
        <f aca="false">'Operating Model'!G4</f>
        <v>46150</v>
      </c>
      <c r="H4" s="36" t="n">
        <f aca="false">'Operating Model'!H4</f>
        <v>46515</v>
      </c>
      <c r="I4" s="36" t="n">
        <f aca="false">'Operating Model'!I4</f>
        <v>46881</v>
      </c>
      <c r="J4" s="36" t="n">
        <f aca="false">'Operating Model'!J4</f>
        <v>47246</v>
      </c>
      <c r="K4" s="36" t="n">
        <f aca="false">'Operating Model'!K4</f>
        <v>47611</v>
      </c>
      <c r="L4" s="2"/>
      <c r="M4" s="2"/>
      <c r="N4" s="2"/>
    </row>
    <row r="5" customFormat="false" ht="15" hidden="false" customHeight="false" outlineLevel="0" collapsed="false">
      <c r="A5" s="2"/>
      <c r="B5" s="2"/>
      <c r="C5" s="2" t="s">
        <v>180</v>
      </c>
      <c r="D5" s="45" t="n">
        <f aca="false">Transaction!D20</f>
        <v>46150</v>
      </c>
      <c r="E5" s="2" t="s">
        <v>149</v>
      </c>
      <c r="F5" s="36" t="n">
        <f aca="false">'Operating Model'!F5</f>
        <v>46150</v>
      </c>
      <c r="G5" s="36" t="n">
        <f aca="false">'Operating Model'!G5</f>
        <v>46514</v>
      </c>
      <c r="H5" s="36" t="n">
        <f aca="false">'Operating Model'!H5</f>
        <v>46880</v>
      </c>
      <c r="I5" s="36" t="n">
        <f aca="false">'Operating Model'!I5</f>
        <v>47245</v>
      </c>
      <c r="J5" s="36" t="n">
        <f aca="false">'Operating Model'!J5</f>
        <v>47610</v>
      </c>
      <c r="K5" s="36" t="n">
        <f aca="false">'Operating Model'!K5</f>
        <v>47975</v>
      </c>
      <c r="L5" s="2"/>
      <c r="M5" s="2"/>
      <c r="N5" s="2"/>
    </row>
    <row r="6" customFormat="false" ht="15" hidden="false" customHeight="false" outlineLevel="0" collapsed="false">
      <c r="A6" s="2"/>
      <c r="B6" s="2"/>
      <c r="C6" s="2" t="s">
        <v>181</v>
      </c>
      <c r="D6" s="46" t="s">
        <v>182</v>
      </c>
      <c r="E6" s="37" t="s">
        <v>150</v>
      </c>
      <c r="F6" s="37"/>
      <c r="G6" s="47" t="n">
        <f aca="false">'Operating Model'!G6</f>
        <v>365</v>
      </c>
      <c r="H6" s="47" t="n">
        <f aca="false">'Operating Model'!H6</f>
        <v>366</v>
      </c>
      <c r="I6" s="47" t="n">
        <f aca="false">'Operating Model'!I6</f>
        <v>365</v>
      </c>
      <c r="J6" s="47" t="n">
        <f aca="false">'Operating Model'!J6</f>
        <v>365</v>
      </c>
      <c r="K6" s="47" t="n">
        <f aca="false">'Operating Model'!K6</f>
        <v>365</v>
      </c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15"/>
      <c r="C9" s="12" t="s">
        <v>183</v>
      </c>
      <c r="D9" s="15"/>
      <c r="E9" s="15"/>
      <c r="F9" s="15"/>
      <c r="G9" s="15"/>
      <c r="H9" s="15"/>
      <c r="I9" s="15"/>
      <c r="J9" s="15"/>
      <c r="K9" s="15"/>
      <c r="L9" s="15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2" t="s">
        <v>184</v>
      </c>
      <c r="D11" s="2"/>
      <c r="E11" s="2"/>
      <c r="F11" s="2"/>
      <c r="G11" s="23" t="n">
        <f aca="false">F65</f>
        <v>15</v>
      </c>
      <c r="H11" s="23" t="n">
        <f aca="false">G65</f>
        <v>15</v>
      </c>
      <c r="I11" s="23" t="n">
        <f aca="false">H65</f>
        <v>15</v>
      </c>
      <c r="J11" s="23" t="n">
        <f aca="false">I65</f>
        <v>17.6840271748473</v>
      </c>
      <c r="K11" s="23" t="n">
        <f aca="false">J65</f>
        <v>28.3618804004395</v>
      </c>
      <c r="L11" s="2"/>
      <c r="M11" s="2"/>
      <c r="N11" s="2"/>
    </row>
    <row r="12" customFormat="false" ht="15" hidden="false" customHeight="false" outlineLevel="0" collapsed="false">
      <c r="A12" s="2"/>
      <c r="B12" s="2"/>
      <c r="C12" s="2" t="s">
        <v>185</v>
      </c>
      <c r="D12" s="2"/>
      <c r="E12" s="2"/>
      <c r="F12" s="2"/>
      <c r="G12" s="43" t="n">
        <f aca="false">'Operating Model'!G32</f>
        <v>78.7145807377175</v>
      </c>
      <c r="H12" s="43" t="n">
        <f aca="false">'Operating Model'!H32</f>
        <v>89.8507652478626</v>
      </c>
      <c r="I12" s="43" t="n">
        <f aca="false">'Operating Model'!I32</f>
        <v>100.359551114625</v>
      </c>
      <c r="J12" s="43" t="n">
        <f aca="false">'Operating Model'!J32</f>
        <v>108.09980359103</v>
      </c>
      <c r="K12" s="43" t="n">
        <f aca="false">'Operating Model'!K32</f>
        <v>114.411258592462</v>
      </c>
      <c r="L12" s="2"/>
      <c r="M12" s="2"/>
      <c r="N12" s="2"/>
    </row>
    <row r="13" customFormat="false" ht="15" hidden="false" customHeight="false" outlineLevel="0" collapsed="false">
      <c r="A13" s="2"/>
      <c r="B13" s="2"/>
      <c r="C13" s="2" t="s">
        <v>186</v>
      </c>
      <c r="D13" s="2"/>
      <c r="E13" s="2"/>
      <c r="F13" s="2"/>
      <c r="G13" s="43" t="n">
        <f aca="false">'Operating Model'!G35</f>
        <v>-20.592</v>
      </c>
      <c r="H13" s="43" t="n">
        <f aca="false">'Operating Model'!H35</f>
        <v>-21.51864</v>
      </c>
      <c r="I13" s="43" t="n">
        <f aca="false">'Operating Model'!I35</f>
        <v>-22.594572</v>
      </c>
      <c r="J13" s="43" t="n">
        <f aca="false">'Operating Model'!J35</f>
        <v>-23.7243006</v>
      </c>
      <c r="K13" s="43" t="n">
        <f aca="false">'Operating Model'!K35</f>
        <v>-24.91051563</v>
      </c>
      <c r="L13" s="2"/>
      <c r="M13" s="2"/>
      <c r="N13" s="2"/>
    </row>
    <row r="14" customFormat="false" ht="15" hidden="false" customHeight="false" outlineLevel="0" collapsed="false">
      <c r="A14" s="2"/>
      <c r="B14" s="2"/>
      <c r="C14" s="2" t="s">
        <v>187</v>
      </c>
      <c r="D14" s="2"/>
      <c r="E14" s="2"/>
      <c r="F14" s="2"/>
      <c r="G14" s="43" t="n">
        <f aca="false">-Transaction!$D$34</f>
        <v>-15</v>
      </c>
      <c r="H14" s="43" t="n">
        <f aca="false">-Transaction!$D$34</f>
        <v>-15</v>
      </c>
      <c r="I14" s="43" t="n">
        <f aca="false">-Transaction!$D$34</f>
        <v>-15</v>
      </c>
      <c r="J14" s="43" t="n">
        <f aca="false">-Transaction!$D$34</f>
        <v>-15</v>
      </c>
      <c r="K14" s="43" t="n">
        <f aca="false">-Transaction!$D$34</f>
        <v>-15</v>
      </c>
      <c r="L14" s="2"/>
      <c r="M14" s="2"/>
      <c r="N14" s="2"/>
    </row>
    <row r="15" customFormat="false" ht="15" hidden="false" customHeight="false" outlineLevel="0" collapsed="false">
      <c r="A15" s="2"/>
      <c r="B15" s="2"/>
      <c r="C15" s="29" t="s">
        <v>188</v>
      </c>
      <c r="D15" s="2"/>
      <c r="E15" s="2"/>
      <c r="F15" s="2"/>
      <c r="G15" s="30" t="n">
        <f aca="false">SUM(G11:G14)</f>
        <v>58.1225807377175</v>
      </c>
      <c r="H15" s="30" t="n">
        <f aca="false">SUM(H11:H14)</f>
        <v>68.3321252478626</v>
      </c>
      <c r="I15" s="30" t="n">
        <f aca="false">SUM(I11:I14)</f>
        <v>77.7649791146248</v>
      </c>
      <c r="J15" s="30" t="n">
        <f aca="false">SUM(J11:J14)</f>
        <v>87.0595301658771</v>
      </c>
      <c r="K15" s="30" t="n">
        <f aca="false">SUM(K11:K14)</f>
        <v>102.862623362902</v>
      </c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 t="s">
        <v>189</v>
      </c>
      <c r="D17" s="2"/>
      <c r="E17" s="2"/>
      <c r="F17" s="2"/>
      <c r="G17" s="23" t="n">
        <f aca="false">-(G37+G38+G58)</f>
        <v>-38.3303229508719</v>
      </c>
      <c r="H17" s="23" t="n">
        <f aca="false">-(H37+H38+H58)</f>
        <v>-35.8698609914447</v>
      </c>
      <c r="I17" s="23" t="n">
        <f aca="false">-(I37+I38+I58)</f>
        <v>-33.0333924584968</v>
      </c>
      <c r="J17" s="23" t="n">
        <f aca="false">-(J37+J38+J58)</f>
        <v>-29.8620085640449</v>
      </c>
      <c r="K17" s="23" t="n">
        <f aca="false">-(K37+K38+K58)</f>
        <v>-25.3601331772902</v>
      </c>
      <c r="L17" s="2"/>
      <c r="M17" s="2"/>
      <c r="N17" s="2"/>
    </row>
    <row r="18" customFormat="false" ht="15" hidden="false" customHeight="false" outlineLevel="0" collapsed="false">
      <c r="A18" s="2"/>
      <c r="B18" s="2"/>
      <c r="C18" s="2" t="s">
        <v>190</v>
      </c>
      <c r="D18" s="2"/>
      <c r="E18" s="2"/>
      <c r="F18" s="2"/>
      <c r="G18" s="23" t="n">
        <f aca="false">G47</f>
        <v>-3.75</v>
      </c>
      <c r="H18" s="23" t="n">
        <f aca="false">H47</f>
        <v>-3.75</v>
      </c>
      <c r="I18" s="23" t="n">
        <f aca="false">I47</f>
        <v>-3.75</v>
      </c>
      <c r="J18" s="23" t="n">
        <f aca="false">J47</f>
        <v>-3.75</v>
      </c>
      <c r="K18" s="23" t="n">
        <f aca="false">K47</f>
        <v>-3.75</v>
      </c>
      <c r="L18" s="2"/>
      <c r="M18" s="2"/>
      <c r="N18" s="2"/>
    </row>
    <row r="19" customFormat="false" ht="15" hidden="false" customHeight="false" outlineLevel="0" collapsed="false">
      <c r="A19" s="2"/>
      <c r="B19" s="2"/>
      <c r="C19" s="29" t="s">
        <v>191</v>
      </c>
      <c r="D19" s="2"/>
      <c r="E19" s="2"/>
      <c r="F19" s="2"/>
      <c r="G19" s="30" t="n">
        <f aca="false">G15+G17+G18</f>
        <v>16.0422577868456</v>
      </c>
      <c r="H19" s="30" t="n">
        <f aca="false">H15+H17+H18</f>
        <v>28.7122642564178</v>
      </c>
      <c r="I19" s="30" t="n">
        <f aca="false">I15+I17+I18</f>
        <v>40.981586656128</v>
      </c>
      <c r="J19" s="30" t="n">
        <f aca="false">J15+J17+J18</f>
        <v>53.4475216018322</v>
      </c>
      <c r="K19" s="30" t="n">
        <f aca="false">K15+K17+K18</f>
        <v>73.7524901856117</v>
      </c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15"/>
      <c r="C21" s="12" t="s">
        <v>192</v>
      </c>
      <c r="D21" s="15"/>
      <c r="E21" s="15"/>
      <c r="F21" s="15"/>
      <c r="G21" s="15"/>
      <c r="H21" s="15"/>
      <c r="I21" s="15"/>
      <c r="J21" s="15"/>
      <c r="K21" s="15"/>
      <c r="L21" s="15"/>
      <c r="M21" s="2"/>
      <c r="N21" s="2"/>
    </row>
    <row r="22" customFormat="false" ht="15" hidden="false" customHeight="false" outlineLevel="0" collapsed="false">
      <c r="A22" s="2"/>
      <c r="B22" s="2"/>
      <c r="C22" s="48" t="str">
        <f aca="false">"ABL revolver: $"&amp;TEXT(Transaction!D40,"0")&amp;"mm commitment, SOFR + "&amp;TEXT(G33,"0.00%")&amp;", undrawn fee "&amp;TEXT(G35,"0.000%")&amp;", 5-year"</f>
        <v>ABL revolver: $175mm commitment, SOFR + 1.75%, undrawn fee 0.375%, 5-year</v>
      </c>
      <c r="D22" s="49"/>
      <c r="E22" s="49"/>
      <c r="F22" s="49"/>
      <c r="G22" s="49"/>
      <c r="H22" s="49"/>
      <c r="I22" s="49"/>
      <c r="J22" s="49"/>
      <c r="K22" s="49"/>
      <c r="L22" s="49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 t="s">
        <v>102</v>
      </c>
      <c r="D24" s="2"/>
      <c r="E24" s="2"/>
      <c r="F24" s="43" t="n">
        <f aca="false">Transaction!$D$40</f>
        <v>175</v>
      </c>
      <c r="G24" s="23" t="n">
        <f aca="false">F24</f>
        <v>175</v>
      </c>
      <c r="H24" s="23" t="n">
        <f aca="false">G24</f>
        <v>175</v>
      </c>
      <c r="I24" s="23" t="n">
        <f aca="false">H24</f>
        <v>175</v>
      </c>
      <c r="J24" s="23" t="n">
        <f aca="false">I24</f>
        <v>175</v>
      </c>
      <c r="K24" s="23" t="n">
        <f aca="false">J24</f>
        <v>175</v>
      </c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7" t="s">
        <v>193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 t="s">
        <v>194</v>
      </c>
      <c r="D27" s="2"/>
      <c r="E27" s="2"/>
      <c r="F27" s="2"/>
      <c r="G27" s="23" t="n">
        <f aca="false">F29</f>
        <v>75</v>
      </c>
      <c r="H27" s="23" t="n">
        <f aca="false">G29</f>
        <v>58.9577422131544</v>
      </c>
      <c r="I27" s="23" t="n">
        <f aca="false">H29</f>
        <v>30.2454779567365</v>
      </c>
      <c r="J27" s="23" t="n">
        <f aca="false">I29</f>
        <v>0</v>
      </c>
      <c r="K27" s="23" t="n">
        <f aca="false">J29</f>
        <v>0</v>
      </c>
      <c r="L27" s="2"/>
      <c r="M27" s="2"/>
      <c r="N27" s="2"/>
    </row>
    <row r="28" customFormat="false" ht="15" hidden="false" customHeight="false" outlineLevel="0" collapsed="false">
      <c r="A28" s="2"/>
      <c r="B28" s="2"/>
      <c r="C28" s="37" t="s">
        <v>195</v>
      </c>
      <c r="D28" s="2"/>
      <c r="E28" s="2"/>
      <c r="F28" s="2"/>
      <c r="G28" s="50" t="n">
        <f aca="false">IF(G19&lt;0,MIN(-G19,G24-G27),-MIN(G27,G19))</f>
        <v>-16.0422577868456</v>
      </c>
      <c r="H28" s="50" t="n">
        <f aca="false">IF(H19&lt;0,MIN(-H19,H24-H27),-MIN(H27,H19))</f>
        <v>-28.7122642564178</v>
      </c>
      <c r="I28" s="50" t="n">
        <f aca="false">IF(I19&lt;0,MIN(-I19,I24-I27),-MIN(I27,I19))</f>
        <v>-30.2454779567365</v>
      </c>
      <c r="J28" s="50" t="n">
        <f aca="false">IF(J19&lt;0,MIN(-J19,J24-J27),-MIN(J27,J19))</f>
        <v>-0</v>
      </c>
      <c r="K28" s="50" t="n">
        <f aca="false">IF(K19&lt;0,MIN(-K19,K24-K27),-MIN(K27,K19))</f>
        <v>-0</v>
      </c>
      <c r="L28" s="2"/>
      <c r="M28" s="2"/>
      <c r="N28" s="2"/>
    </row>
    <row r="29" customFormat="false" ht="15" hidden="false" customHeight="false" outlineLevel="0" collapsed="false">
      <c r="A29" s="2"/>
      <c r="B29" s="2"/>
      <c r="C29" s="7" t="s">
        <v>196</v>
      </c>
      <c r="D29" s="2"/>
      <c r="E29" s="2"/>
      <c r="F29" s="39" t="n">
        <f aca="false">Transaction!$E$40</f>
        <v>75</v>
      </c>
      <c r="G29" s="40" t="n">
        <f aca="false">G27+G28</f>
        <v>58.9577422131544</v>
      </c>
      <c r="H29" s="40" t="n">
        <f aca="false">H27+H28</f>
        <v>30.2454779567365</v>
      </c>
      <c r="I29" s="40" t="n">
        <f aca="false">I27+I28</f>
        <v>0</v>
      </c>
      <c r="J29" s="40" t="n">
        <f aca="false">J27+J28</f>
        <v>0</v>
      </c>
      <c r="K29" s="40" t="n">
        <f aca="false">K27+K28</f>
        <v>0</v>
      </c>
      <c r="L29" s="2"/>
      <c r="M29" s="2"/>
      <c r="N29" s="2"/>
    </row>
    <row r="30" customFormat="false" ht="15" hidden="false" customHeight="false" outlineLevel="0" collapsed="false">
      <c r="A30" s="2"/>
      <c r="B30" s="2"/>
      <c r="C30" s="14" t="s">
        <v>197</v>
      </c>
      <c r="D30" s="2"/>
      <c r="E30" s="2"/>
      <c r="F30" s="51" t="n">
        <f aca="false">F24-F29</f>
        <v>100</v>
      </c>
      <c r="G30" s="51" t="n">
        <f aca="false">G24-G29</f>
        <v>116.042257786846</v>
      </c>
      <c r="H30" s="51" t="n">
        <f aca="false">H24-H29</f>
        <v>144.754522043263</v>
      </c>
      <c r="I30" s="51" t="n">
        <f aca="false">I24-I29</f>
        <v>175</v>
      </c>
      <c r="J30" s="51" t="n">
        <f aca="false">J24-J29</f>
        <v>175</v>
      </c>
      <c r="K30" s="51" t="n">
        <f aca="false">K24-K29</f>
        <v>175</v>
      </c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 t="s">
        <v>198</v>
      </c>
      <c r="D32" s="2"/>
      <c r="E32" s="2"/>
      <c r="F32" s="2"/>
      <c r="G32" s="52" t="n">
        <v>0.039</v>
      </c>
      <c r="H32" s="52" t="n">
        <v>0.0365</v>
      </c>
      <c r="I32" s="52" t="n">
        <v>0.035</v>
      </c>
      <c r="J32" s="52" t="n">
        <v>0.035</v>
      </c>
      <c r="K32" s="52" t="n">
        <v>0.035</v>
      </c>
      <c r="L32" s="2"/>
      <c r="M32" s="2"/>
      <c r="N32" s="2"/>
    </row>
    <row r="33" customFormat="false" ht="15" hidden="false" customHeight="false" outlineLevel="0" collapsed="false">
      <c r="A33" s="2"/>
      <c r="B33" s="2"/>
      <c r="C33" s="37" t="s">
        <v>199</v>
      </c>
      <c r="D33" s="2"/>
      <c r="E33" s="2"/>
      <c r="F33" s="2"/>
      <c r="G33" s="53" t="n">
        <v>0.0175</v>
      </c>
      <c r="H33" s="54" t="n">
        <f aca="false">G33</f>
        <v>0.0175</v>
      </c>
      <c r="I33" s="54" t="n">
        <f aca="false">H33</f>
        <v>0.0175</v>
      </c>
      <c r="J33" s="54" t="n">
        <f aca="false">I33</f>
        <v>0.0175</v>
      </c>
      <c r="K33" s="54" t="n">
        <f aca="false">J33</f>
        <v>0.0175</v>
      </c>
      <c r="L33" s="2"/>
      <c r="M33" s="2"/>
      <c r="N33" s="2"/>
    </row>
    <row r="34" customFormat="false" ht="15" hidden="false" customHeight="false" outlineLevel="0" collapsed="false">
      <c r="A34" s="2"/>
      <c r="B34" s="2"/>
      <c r="C34" s="7" t="s">
        <v>200</v>
      </c>
      <c r="D34" s="2"/>
      <c r="E34" s="2"/>
      <c r="F34" s="2"/>
      <c r="G34" s="55" t="n">
        <f aca="false">G32+G33</f>
        <v>0.0565</v>
      </c>
      <c r="H34" s="55" t="n">
        <f aca="false">H32+H33</f>
        <v>0.054</v>
      </c>
      <c r="I34" s="55" t="n">
        <f aca="false">I32+I33</f>
        <v>0.0525</v>
      </c>
      <c r="J34" s="55" t="n">
        <f aca="false">J32+J33</f>
        <v>0.0525</v>
      </c>
      <c r="K34" s="55" t="n">
        <f aca="false">K32+K33</f>
        <v>0.0525</v>
      </c>
      <c r="L34" s="2"/>
      <c r="M34" s="2"/>
      <c r="N34" s="2"/>
    </row>
    <row r="35" customFormat="false" ht="15" hidden="false" customHeight="false" outlineLevel="0" collapsed="false">
      <c r="A35" s="2"/>
      <c r="B35" s="2"/>
      <c r="C35" s="2" t="s">
        <v>201</v>
      </c>
      <c r="D35" s="2"/>
      <c r="E35" s="2"/>
      <c r="F35" s="2"/>
      <c r="G35" s="56" t="n">
        <v>0.00375</v>
      </c>
      <c r="H35" s="57" t="n">
        <f aca="false">G35</f>
        <v>0.00375</v>
      </c>
      <c r="I35" s="57" t="n">
        <f aca="false">H35</f>
        <v>0.00375</v>
      </c>
      <c r="J35" s="57" t="n">
        <f aca="false">I35</f>
        <v>0.00375</v>
      </c>
      <c r="K35" s="57" t="n">
        <f aca="false">J35</f>
        <v>0.00375</v>
      </c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 t="s">
        <v>202</v>
      </c>
      <c r="D37" s="2"/>
      <c r="E37" s="2"/>
      <c r="F37" s="2"/>
      <c r="G37" s="23" t="n">
        <f aca="false">IF($D$6="On",G27,AVERAGE(G27,G29))*G34*G$6/365</f>
        <v>3.78430621752156</v>
      </c>
      <c r="H37" s="23" t="n">
        <f aca="false">IF($D$6="On",H27,AVERAGE(H27,H29))*H34*H$6/365</f>
        <v>2.41508553895593</v>
      </c>
      <c r="I37" s="23" t="n">
        <f aca="false">IF($D$6="On",I27,AVERAGE(I27,I29))*I34*I$6/365</f>
        <v>0.793943796364334</v>
      </c>
      <c r="J37" s="23" t="n">
        <f aca="false">IF($D$6="On",J27,AVERAGE(J27,J29))*J34*J$6/365</f>
        <v>0</v>
      </c>
      <c r="K37" s="23" t="n">
        <f aca="false">IF($D$6="On",K27,AVERAGE(K27,K29))*K34*K$6/365</f>
        <v>0</v>
      </c>
      <c r="L37" s="2"/>
      <c r="M37" s="2"/>
      <c r="N37" s="2"/>
    </row>
    <row r="38" customFormat="false" ht="15" hidden="false" customHeight="false" outlineLevel="0" collapsed="false">
      <c r="A38" s="2"/>
      <c r="B38" s="2"/>
      <c r="C38" s="2" t="s">
        <v>201</v>
      </c>
      <c r="D38" s="2"/>
      <c r="E38" s="2"/>
      <c r="F38" s="2"/>
      <c r="G38" s="23" t="n">
        <f aca="false">(G24-IF($D$6="On",G27,AVERAGE(G27,G29)))*G35*G$6/365</f>
        <v>0.405079233350336</v>
      </c>
      <c r="H38" s="23" t="n">
        <f aca="false">(H24-IF($D$6="On",H27,AVERAGE(H27,H29)))*H35*H$6/365</f>
        <v>0.490333671666883</v>
      </c>
      <c r="I38" s="23" t="n">
        <f aca="false">(I24-IF($D$6="On",I27,AVERAGE(I27,I29)))*I35*I$6/365</f>
        <v>0.599539728831119</v>
      </c>
      <c r="J38" s="23" t="n">
        <f aca="false">(J24-IF($D$6="On",J27,AVERAGE(J27,J29)))*J35*J$6/365</f>
        <v>0.65625</v>
      </c>
      <c r="K38" s="23" t="n">
        <f aca="false">(K24-IF($D$6="On",K27,AVERAGE(K27,K29)))*K35*K$6/365</f>
        <v>0.65625</v>
      </c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9" t="s">
        <v>203</v>
      </c>
      <c r="D40" s="2"/>
      <c r="E40" s="2"/>
      <c r="F40" s="2"/>
      <c r="G40" s="30" t="n">
        <f aca="false">G19+G28</f>
        <v>0</v>
      </c>
      <c r="H40" s="30" t="n">
        <f aca="false">H19+H28</f>
        <v>0</v>
      </c>
      <c r="I40" s="30" t="n">
        <f aca="false">I19+I28</f>
        <v>10.7361086993891</v>
      </c>
      <c r="J40" s="30" t="n">
        <f aca="false">J19+J28</f>
        <v>53.4475216017579</v>
      </c>
      <c r="K40" s="30" t="n">
        <f aca="false">K19+K28</f>
        <v>73.7524901850522</v>
      </c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15"/>
      <c r="C42" s="12" t="s">
        <v>204</v>
      </c>
      <c r="D42" s="15"/>
      <c r="E42" s="15"/>
      <c r="F42" s="15"/>
      <c r="G42" s="15"/>
      <c r="H42" s="15"/>
      <c r="I42" s="15"/>
      <c r="J42" s="15"/>
      <c r="K42" s="15"/>
      <c r="L42" s="15"/>
      <c r="M42" s="2"/>
      <c r="N42" s="2"/>
    </row>
    <row r="43" customFormat="false" ht="15" hidden="false" customHeight="false" outlineLevel="0" collapsed="false">
      <c r="A43" s="2"/>
      <c r="B43" s="2"/>
      <c r="C43" s="48" t="str">
        <f aca="false">"First lien term loan (private credit): $"&amp;TEXT(Transaction!D41,"0")&amp;"mm, SOFR + "&amp;TEXT(G53,"0.00%")&amp;" ("&amp;TEXT(G52,"0.00%")&amp;" floor), "&amp;TEXT(G55,"0%")&amp;" amortization, 7-year"</f>
        <v>First lien term loan (private credit): $375mm, SOFR + 5.25% (0.75% floor), 1% amortization, 7-year</v>
      </c>
      <c r="D43" s="49"/>
      <c r="E43" s="49"/>
      <c r="F43" s="49"/>
      <c r="G43" s="49"/>
      <c r="H43" s="49"/>
      <c r="I43" s="49"/>
      <c r="J43" s="49"/>
      <c r="K43" s="49"/>
      <c r="L43" s="49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7" t="s">
        <v>193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 t="s">
        <v>194</v>
      </c>
      <c r="D46" s="2"/>
      <c r="E46" s="2"/>
      <c r="F46" s="2"/>
      <c r="G46" s="23" t="n">
        <f aca="false">F49</f>
        <v>375</v>
      </c>
      <c r="H46" s="23" t="n">
        <f aca="false">G49</f>
        <v>371.25</v>
      </c>
      <c r="I46" s="23" t="n">
        <f aca="false">H49</f>
        <v>367.5</v>
      </c>
      <c r="J46" s="23" t="n">
        <f aca="false">I49</f>
        <v>355.697918475458</v>
      </c>
      <c r="K46" s="23" t="n">
        <f aca="false">J49</f>
        <v>311.86227727414</v>
      </c>
      <c r="L46" s="2"/>
      <c r="M46" s="2"/>
      <c r="N46" s="2"/>
    </row>
    <row r="47" customFormat="false" ht="15" hidden="false" customHeight="false" outlineLevel="0" collapsed="false">
      <c r="A47" s="2"/>
      <c r="B47" s="2"/>
      <c r="C47" s="2" t="s">
        <v>190</v>
      </c>
      <c r="D47" s="2"/>
      <c r="E47" s="2"/>
      <c r="F47" s="2"/>
      <c r="G47" s="23" t="n">
        <f aca="false">-MIN(G46,$F$49*G55)</f>
        <v>-3.75</v>
      </c>
      <c r="H47" s="23" t="n">
        <f aca="false">-MIN(H46,$F$49*H55)</f>
        <v>-3.75</v>
      </c>
      <c r="I47" s="23" t="n">
        <f aca="false">-MIN(I46,$F$49*I55)</f>
        <v>-3.75</v>
      </c>
      <c r="J47" s="23" t="n">
        <f aca="false">-MIN(J46,$F$49*J55)</f>
        <v>-3.75</v>
      </c>
      <c r="K47" s="23" t="n">
        <f aca="false">-MIN(K46,$F$49*K55)</f>
        <v>-3.75</v>
      </c>
      <c r="L47" s="2"/>
      <c r="M47" s="2"/>
      <c r="N47" s="2"/>
    </row>
    <row r="48" customFormat="false" ht="15" hidden="false" customHeight="false" outlineLevel="0" collapsed="false">
      <c r="A48" s="2"/>
      <c r="B48" s="2"/>
      <c r="C48" s="37" t="s">
        <v>205</v>
      </c>
      <c r="D48" s="2"/>
      <c r="E48" s="2"/>
      <c r="F48" s="2"/>
      <c r="G48" s="50" t="n">
        <f aca="false">-MIN(G46+G47,MAX(0,G40)*G56)</f>
        <v>-0</v>
      </c>
      <c r="H48" s="50" t="n">
        <f aca="false">-MIN(H46+H47,MAX(0,H40)*H56)</f>
        <v>-0</v>
      </c>
      <c r="I48" s="50" t="n">
        <f aca="false">-MIN(I46+I47,MAX(0,I40)*I56)</f>
        <v>-8.05208152454184</v>
      </c>
      <c r="J48" s="50" t="n">
        <f aca="false">-MIN(J46+J47,MAX(0,J40)*J56)</f>
        <v>-40.0856412013184</v>
      </c>
      <c r="K48" s="50" t="n">
        <f aca="false">-MIN(K46+K47,MAX(0,K40)*K56)</f>
        <v>-55.3143676387892</v>
      </c>
      <c r="L48" s="2"/>
      <c r="M48" s="2"/>
      <c r="N48" s="2"/>
    </row>
    <row r="49" customFormat="false" ht="15" hidden="false" customHeight="false" outlineLevel="0" collapsed="false">
      <c r="A49" s="2"/>
      <c r="B49" s="2"/>
      <c r="C49" s="7" t="s">
        <v>196</v>
      </c>
      <c r="D49" s="2"/>
      <c r="E49" s="2"/>
      <c r="F49" s="39" t="n">
        <f aca="false">Transaction!$E$41</f>
        <v>375</v>
      </c>
      <c r="G49" s="40" t="n">
        <f aca="false">G46+G47+G48</f>
        <v>371.25</v>
      </c>
      <c r="H49" s="40" t="n">
        <f aca="false">H46+H47+H48</f>
        <v>367.5</v>
      </c>
      <c r="I49" s="40" t="n">
        <f aca="false">I46+I47+I48</f>
        <v>355.697918475458</v>
      </c>
      <c r="J49" s="40" t="n">
        <f aca="false">J46+J47+J48</f>
        <v>311.86227727414</v>
      </c>
      <c r="K49" s="40" t="n">
        <f aca="false">K46+K47+K48</f>
        <v>252.797909635351</v>
      </c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 t="s">
        <v>198</v>
      </c>
      <c r="D51" s="2"/>
      <c r="E51" s="2"/>
      <c r="F51" s="2"/>
      <c r="G51" s="58" t="n">
        <f aca="false">G32</f>
        <v>0.039</v>
      </c>
      <c r="H51" s="58" t="n">
        <f aca="false">H32</f>
        <v>0.0365</v>
      </c>
      <c r="I51" s="58" t="n">
        <f aca="false">I32</f>
        <v>0.035</v>
      </c>
      <c r="J51" s="58" t="n">
        <f aca="false">J32</f>
        <v>0.035</v>
      </c>
      <c r="K51" s="58" t="n">
        <f aca="false">K32</f>
        <v>0.035</v>
      </c>
      <c r="L51" s="2"/>
      <c r="M51" s="2"/>
      <c r="N51" s="2"/>
    </row>
    <row r="52" customFormat="false" ht="15" hidden="false" customHeight="false" outlineLevel="0" collapsed="false">
      <c r="A52" s="2"/>
      <c r="B52" s="2"/>
      <c r="C52" s="2" t="s">
        <v>206</v>
      </c>
      <c r="D52" s="2"/>
      <c r="E52" s="2"/>
      <c r="F52" s="2"/>
      <c r="G52" s="27" t="n">
        <v>0.0075</v>
      </c>
      <c r="H52" s="58" t="n">
        <f aca="false">G52</f>
        <v>0.0075</v>
      </c>
      <c r="I52" s="58" t="n">
        <f aca="false">H52</f>
        <v>0.0075</v>
      </c>
      <c r="J52" s="58" t="n">
        <f aca="false">I52</f>
        <v>0.0075</v>
      </c>
      <c r="K52" s="58" t="n">
        <f aca="false">J52</f>
        <v>0.0075</v>
      </c>
      <c r="L52" s="2"/>
      <c r="M52" s="2"/>
      <c r="N52" s="2"/>
    </row>
    <row r="53" customFormat="false" ht="15" hidden="false" customHeight="false" outlineLevel="0" collapsed="false">
      <c r="A53" s="2"/>
      <c r="B53" s="2"/>
      <c r="C53" s="2" t="s">
        <v>199</v>
      </c>
      <c r="D53" s="2"/>
      <c r="E53" s="2"/>
      <c r="F53" s="2"/>
      <c r="G53" s="27" t="n">
        <v>0.0525</v>
      </c>
      <c r="H53" s="58" t="n">
        <f aca="false">G53</f>
        <v>0.0525</v>
      </c>
      <c r="I53" s="58" t="n">
        <f aca="false">H53</f>
        <v>0.0525</v>
      </c>
      <c r="J53" s="58" t="n">
        <f aca="false">I53</f>
        <v>0.0525</v>
      </c>
      <c r="K53" s="58" t="n">
        <f aca="false">J53</f>
        <v>0.0525</v>
      </c>
      <c r="L53" s="2"/>
      <c r="M53" s="2"/>
      <c r="N53" s="2"/>
    </row>
    <row r="54" customFormat="false" ht="15" hidden="false" customHeight="false" outlineLevel="0" collapsed="false">
      <c r="A54" s="2"/>
      <c r="B54" s="2"/>
      <c r="C54" s="29" t="s">
        <v>200</v>
      </c>
      <c r="D54" s="2"/>
      <c r="E54" s="2"/>
      <c r="F54" s="2"/>
      <c r="G54" s="59" t="n">
        <f aca="false">MAX(G51,G52)+G53</f>
        <v>0.0915</v>
      </c>
      <c r="H54" s="59" t="n">
        <f aca="false">MAX(H51,H52)+H53</f>
        <v>0.089</v>
      </c>
      <c r="I54" s="59" t="n">
        <f aca="false">MAX(I51,I52)+I53</f>
        <v>0.0875</v>
      </c>
      <c r="J54" s="59" t="n">
        <f aca="false">MAX(J51,J52)+J53</f>
        <v>0.0875</v>
      </c>
      <c r="K54" s="59" t="n">
        <f aca="false">MAX(K51,K52)+K53</f>
        <v>0.0875</v>
      </c>
      <c r="L54" s="2"/>
      <c r="M54" s="2"/>
      <c r="N54" s="2"/>
    </row>
    <row r="55" customFormat="false" ht="15" hidden="false" customHeight="false" outlineLevel="0" collapsed="false">
      <c r="A55" s="2"/>
      <c r="B55" s="2"/>
      <c r="C55" s="2" t="s">
        <v>207</v>
      </c>
      <c r="D55" s="2"/>
      <c r="E55" s="2"/>
      <c r="F55" s="2"/>
      <c r="G55" s="24" t="n">
        <v>0.01</v>
      </c>
      <c r="H55" s="28" t="n">
        <f aca="false">G55</f>
        <v>0.01</v>
      </c>
      <c r="I55" s="28" t="n">
        <f aca="false">H55</f>
        <v>0.01</v>
      </c>
      <c r="J55" s="28" t="n">
        <f aca="false">I55</f>
        <v>0.01</v>
      </c>
      <c r="K55" s="28" t="n">
        <f aca="false">J55</f>
        <v>0.01</v>
      </c>
      <c r="L55" s="2"/>
      <c r="M55" s="2"/>
      <c r="N55" s="2"/>
    </row>
    <row r="56" customFormat="false" ht="15" hidden="false" customHeight="false" outlineLevel="0" collapsed="false">
      <c r="A56" s="2"/>
      <c r="B56" s="2"/>
      <c r="C56" s="2" t="s">
        <v>208</v>
      </c>
      <c r="D56" s="2"/>
      <c r="E56" s="2"/>
      <c r="F56" s="2"/>
      <c r="G56" s="24" t="n">
        <v>0.75</v>
      </c>
      <c r="H56" s="28" t="n">
        <f aca="false">G56</f>
        <v>0.75</v>
      </c>
      <c r="I56" s="28" t="n">
        <f aca="false">H56</f>
        <v>0.75</v>
      </c>
      <c r="J56" s="28" t="n">
        <f aca="false">I56</f>
        <v>0.75</v>
      </c>
      <c r="K56" s="28" t="n">
        <f aca="false">J56</f>
        <v>0.75</v>
      </c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 t="s">
        <v>202</v>
      </c>
      <c r="D58" s="2"/>
      <c r="E58" s="2"/>
      <c r="F58" s="2"/>
      <c r="G58" s="23" t="n">
        <f aca="false">IF($D$6="On",G46,AVERAGE(G46,G49))*G54*G$6/365</f>
        <v>34.1409375</v>
      </c>
      <c r="H58" s="23" t="n">
        <f aca="false">IF($D$6="On",H46,AVERAGE(H46,H49))*H54*H$6/365</f>
        <v>32.9644417808219</v>
      </c>
      <c r="I58" s="23" t="n">
        <f aca="false">IF($D$6="On",I46,AVERAGE(I46,I49))*I54*I$6/365</f>
        <v>31.6399089333013</v>
      </c>
      <c r="J58" s="23" t="n">
        <f aca="false">IF($D$6="On",J46,AVERAGE(J46,J49))*J54*J$6/365</f>
        <v>29.2057585640449</v>
      </c>
      <c r="K58" s="23" t="n">
        <f aca="false">IF($D$6="On",K46,AVERAGE(K46,K49))*K54*K$6/365</f>
        <v>24.7038831772902</v>
      </c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9" t="s">
        <v>209</v>
      </c>
      <c r="D60" s="2"/>
      <c r="E60" s="2"/>
      <c r="F60" s="2"/>
      <c r="G60" s="30" t="n">
        <f aca="false">G40+G48</f>
        <v>0</v>
      </c>
      <c r="H60" s="30" t="n">
        <f aca="false">H40+H48</f>
        <v>0</v>
      </c>
      <c r="I60" s="30" t="n">
        <f aca="false">I40+I48</f>
        <v>2.68402717484728</v>
      </c>
      <c r="J60" s="30" t="n">
        <f aca="false">J40+J48</f>
        <v>13.3618804004395</v>
      </c>
      <c r="K60" s="30" t="n">
        <f aca="false">K40+K48</f>
        <v>18.4381225462631</v>
      </c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15"/>
      <c r="C62" s="12" t="s">
        <v>210</v>
      </c>
      <c r="D62" s="15"/>
      <c r="E62" s="15"/>
      <c r="F62" s="15"/>
      <c r="G62" s="15"/>
      <c r="H62" s="15"/>
      <c r="I62" s="15"/>
      <c r="J62" s="15"/>
      <c r="K62" s="15"/>
      <c r="L62" s="15"/>
      <c r="M62" s="2"/>
      <c r="N62" s="2"/>
    </row>
    <row r="63" customFormat="false" ht="15" hidden="false" customHeight="false" outlineLevel="0" collapsed="false">
      <c r="A63" s="2"/>
      <c r="B63" s="2"/>
      <c r="C63" s="2" t="s">
        <v>211</v>
      </c>
      <c r="D63" s="2"/>
      <c r="E63" s="2"/>
      <c r="F63" s="2"/>
      <c r="G63" s="23" t="n">
        <f aca="false">G60</f>
        <v>0</v>
      </c>
      <c r="H63" s="23" t="n">
        <f aca="false">H60</f>
        <v>0</v>
      </c>
      <c r="I63" s="23" t="n">
        <f aca="false">I60</f>
        <v>2.68402717484728</v>
      </c>
      <c r="J63" s="23" t="n">
        <f aca="false">J60</f>
        <v>13.3618804004395</v>
      </c>
      <c r="K63" s="23" t="n">
        <f aca="false">K60</f>
        <v>18.4381225462631</v>
      </c>
      <c r="L63" s="2"/>
      <c r="M63" s="2"/>
      <c r="N63" s="2"/>
    </row>
    <row r="64" customFormat="false" ht="15" hidden="false" customHeight="false" outlineLevel="0" collapsed="false">
      <c r="A64" s="2"/>
      <c r="B64" s="2"/>
      <c r="C64" s="2" t="s">
        <v>212</v>
      </c>
      <c r="D64" s="2"/>
      <c r="E64" s="2"/>
      <c r="F64" s="2"/>
      <c r="G64" s="43" t="n">
        <f aca="false">Transaction!$D$34</f>
        <v>15</v>
      </c>
      <c r="H64" s="43" t="n">
        <f aca="false">Transaction!$D$34</f>
        <v>15</v>
      </c>
      <c r="I64" s="43" t="n">
        <f aca="false">Transaction!$D$34</f>
        <v>15</v>
      </c>
      <c r="J64" s="43" t="n">
        <f aca="false">Transaction!$D$34</f>
        <v>15</v>
      </c>
      <c r="K64" s="43" t="n">
        <f aca="false">Transaction!$D$34</f>
        <v>15</v>
      </c>
      <c r="L64" s="2"/>
      <c r="M64" s="2"/>
      <c r="N64" s="2"/>
    </row>
    <row r="65" customFormat="false" ht="15" hidden="false" customHeight="false" outlineLevel="0" collapsed="false">
      <c r="A65" s="2"/>
      <c r="B65" s="2"/>
      <c r="C65" s="29" t="s">
        <v>213</v>
      </c>
      <c r="D65" s="2"/>
      <c r="E65" s="2"/>
      <c r="F65" s="60" t="n">
        <f aca="false">Transaction!$D$34</f>
        <v>15</v>
      </c>
      <c r="G65" s="30" t="n">
        <f aca="false">G63+G64</f>
        <v>15</v>
      </c>
      <c r="H65" s="30" t="n">
        <f aca="false">H63+H64</f>
        <v>15</v>
      </c>
      <c r="I65" s="30" t="n">
        <f aca="false">I63+I64</f>
        <v>17.6840271748473</v>
      </c>
      <c r="J65" s="30" t="n">
        <f aca="false">J63+J64</f>
        <v>28.3618804004395</v>
      </c>
      <c r="K65" s="30" t="n">
        <f aca="false">K63+K64</f>
        <v>33.4381225462631</v>
      </c>
      <c r="L65" s="2"/>
      <c r="M65" s="2"/>
      <c r="N65" s="2"/>
    </row>
    <row r="66" customFormat="false" ht="15" hidden="false" customHeight="false" outlineLevel="0" collapsed="false">
      <c r="A66" s="2"/>
      <c r="B66" s="2"/>
      <c r="C66" s="14" t="s">
        <v>214</v>
      </c>
      <c r="D66" s="2"/>
      <c r="E66" s="2"/>
      <c r="F66" s="2"/>
      <c r="G66" s="61" t="str">
        <f aca="false">IF(G65&lt;Transaction!$D$34-0.001,"Below min","OK")</f>
        <v>OK</v>
      </c>
      <c r="H66" s="61" t="str">
        <f aca="false">IF(H65&lt;Transaction!$D$34-0.001,"Below min","OK")</f>
        <v>OK</v>
      </c>
      <c r="I66" s="61" t="str">
        <f aca="false">IF(I65&lt;Transaction!$D$34-0.001,"Below min","OK")</f>
        <v>OK</v>
      </c>
      <c r="J66" s="61" t="str">
        <f aca="false">IF(J65&lt;Transaction!$D$34-0.001,"Below min","OK")</f>
        <v>OK</v>
      </c>
      <c r="K66" s="61" t="str">
        <f aca="false">IF(K65&lt;Transaction!$D$34-0.001,"Below min","OK")</f>
        <v>OK</v>
      </c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15"/>
      <c r="C68" s="12" t="s">
        <v>215</v>
      </c>
      <c r="D68" s="15"/>
      <c r="E68" s="15"/>
      <c r="F68" s="15"/>
      <c r="G68" s="15"/>
      <c r="H68" s="15"/>
      <c r="I68" s="15"/>
      <c r="J68" s="15"/>
      <c r="K68" s="15"/>
      <c r="L68" s="15"/>
      <c r="M68" s="2"/>
      <c r="N68" s="2"/>
    </row>
    <row r="69" customFormat="false" ht="15" hidden="false" customHeight="false" outlineLevel="0" collapsed="false">
      <c r="A69" s="2"/>
      <c r="B69" s="2"/>
      <c r="C69" s="7" t="s">
        <v>216</v>
      </c>
      <c r="D69" s="2"/>
      <c r="E69" s="2"/>
      <c r="F69" s="40" t="n">
        <f aca="false">F29+F49</f>
        <v>450</v>
      </c>
      <c r="G69" s="40" t="n">
        <f aca="false">G29+G49</f>
        <v>430.207742213154</v>
      </c>
      <c r="H69" s="40" t="n">
        <f aca="false">H29+H49</f>
        <v>397.745477956737</v>
      </c>
      <c r="I69" s="40" t="n">
        <f aca="false">I29+I49</f>
        <v>355.697918475458</v>
      </c>
      <c r="J69" s="40" t="n">
        <f aca="false">J29+J49</f>
        <v>311.86227727414</v>
      </c>
      <c r="K69" s="40" t="n">
        <f aca="false">K29+K49</f>
        <v>252.797909635351</v>
      </c>
      <c r="L69" s="2"/>
      <c r="M69" s="2"/>
      <c r="N69" s="2"/>
    </row>
    <row r="70" customFormat="false" ht="15" hidden="false" customHeight="false" outlineLevel="0" collapsed="false">
      <c r="A70" s="2"/>
      <c r="B70" s="2"/>
      <c r="C70" s="2" t="s">
        <v>217</v>
      </c>
      <c r="D70" s="2"/>
      <c r="E70" s="2"/>
      <c r="F70" s="23" t="n">
        <f aca="false">F65</f>
        <v>15</v>
      </c>
      <c r="G70" s="23" t="n">
        <f aca="false">G65</f>
        <v>15</v>
      </c>
      <c r="H70" s="23" t="n">
        <f aca="false">H65</f>
        <v>15</v>
      </c>
      <c r="I70" s="23" t="n">
        <f aca="false">I65</f>
        <v>17.6840271748473</v>
      </c>
      <c r="J70" s="23" t="n">
        <f aca="false">J65</f>
        <v>28.3618804004395</v>
      </c>
      <c r="K70" s="23" t="n">
        <f aca="false">K65</f>
        <v>33.4381225462631</v>
      </c>
      <c r="L70" s="2"/>
      <c r="M70" s="2"/>
      <c r="N70" s="2"/>
    </row>
    <row r="71" customFormat="false" ht="15" hidden="false" customHeight="false" outlineLevel="0" collapsed="false">
      <c r="A71" s="2"/>
      <c r="B71" s="2"/>
      <c r="C71" s="42" t="s">
        <v>218</v>
      </c>
      <c r="D71" s="2"/>
      <c r="E71" s="2"/>
      <c r="F71" s="21" t="n">
        <f aca="false">F69-F70</f>
        <v>435</v>
      </c>
      <c r="G71" s="21" t="n">
        <f aca="false">G69-G70</f>
        <v>415.207742213154</v>
      </c>
      <c r="H71" s="21" t="n">
        <f aca="false">H69-H70</f>
        <v>382.745477956737</v>
      </c>
      <c r="I71" s="21" t="n">
        <f aca="false">I69-I70</f>
        <v>338.013891300611</v>
      </c>
      <c r="J71" s="21" t="n">
        <f aca="false">J69-J70</f>
        <v>283.5003968737</v>
      </c>
      <c r="K71" s="21" t="n">
        <f aca="false">K69-K70</f>
        <v>219.359787089088</v>
      </c>
      <c r="L71" s="2"/>
      <c r="M71" s="2"/>
      <c r="N71" s="2"/>
    </row>
    <row r="72" customFormat="false" ht="15" hidden="false" customHeight="false" outlineLevel="0" collapsed="false">
      <c r="A72" s="2"/>
      <c r="B72" s="2"/>
      <c r="C72" s="2" t="s">
        <v>157</v>
      </c>
      <c r="D72" s="2"/>
      <c r="E72" s="2"/>
      <c r="F72" s="43" t="n">
        <f aca="false">'Operating Model'!F14</f>
        <v>96.4</v>
      </c>
      <c r="G72" s="43" t="n">
        <f aca="false">'Operating Model'!G14</f>
        <v>103.312</v>
      </c>
      <c r="H72" s="43" t="n">
        <f aca="false">'Operating Model'!H14</f>
        <v>112.61352</v>
      </c>
      <c r="I72" s="43" t="n">
        <f aca="false">'Operating Model'!I14</f>
        <v>123.25806</v>
      </c>
      <c r="J72" s="43" t="n">
        <f aca="false">'Operating Model'!J14</f>
        <v>134.6583474</v>
      </c>
      <c r="K72" s="43" t="n">
        <f aca="false">'Operating Model'!K14</f>
        <v>144.598209804</v>
      </c>
      <c r="L72" s="2"/>
      <c r="M72" s="2"/>
      <c r="N72" s="2"/>
    </row>
    <row r="73" customFormat="false" ht="15" hidden="false" customHeight="false" outlineLevel="0" collapsed="false">
      <c r="A73" s="2"/>
      <c r="B73" s="2"/>
      <c r="C73" s="2" t="s">
        <v>155</v>
      </c>
      <c r="D73" s="2"/>
      <c r="E73" s="2"/>
      <c r="F73" s="43" t="n">
        <f aca="false">'Operating Model'!F12</f>
        <v>126</v>
      </c>
      <c r="G73" s="43" t="n">
        <f aca="false">'Operating Model'!G12</f>
        <v>132.912</v>
      </c>
      <c r="H73" s="43" t="n">
        <f aca="false">'Operating Model'!H12</f>
        <v>142.80552</v>
      </c>
      <c r="I73" s="43" t="n">
        <f aca="false">'Operating Model'!I12</f>
        <v>154.0539</v>
      </c>
      <c r="J73" s="43" t="n">
        <f aca="false">'Operating Model'!J12</f>
        <v>166.0701042</v>
      </c>
      <c r="K73" s="43" t="n">
        <f aca="false">'Operating Model'!K12</f>
        <v>176.63820174</v>
      </c>
      <c r="L73" s="2"/>
      <c r="M73" s="2"/>
      <c r="N73" s="2"/>
    </row>
    <row r="74" customFormat="false" ht="15" hidden="false" customHeight="false" outlineLevel="0" collapsed="false">
      <c r="A74" s="2"/>
      <c r="B74" s="2"/>
      <c r="C74" s="2" t="s">
        <v>219</v>
      </c>
      <c r="D74" s="2"/>
      <c r="E74" s="2"/>
      <c r="F74" s="43" t="n">
        <f aca="false">-'Operating Model'!F13</f>
        <v>29.6</v>
      </c>
      <c r="G74" s="43" t="n">
        <f aca="false">-'Operating Model'!G13</f>
        <v>29.6</v>
      </c>
      <c r="H74" s="43" t="n">
        <f aca="false">-'Operating Model'!H13</f>
        <v>30.192</v>
      </c>
      <c r="I74" s="43" t="n">
        <f aca="false">-'Operating Model'!I13</f>
        <v>30.79584</v>
      </c>
      <c r="J74" s="43" t="n">
        <f aca="false">-'Operating Model'!J13</f>
        <v>31.4117568</v>
      </c>
      <c r="K74" s="43" t="n">
        <f aca="false">-'Operating Model'!K13</f>
        <v>32.039991936</v>
      </c>
      <c r="L74" s="2"/>
      <c r="M74" s="2"/>
      <c r="N74" s="2"/>
    </row>
    <row r="75" customFormat="false" ht="15" hidden="false" customHeight="false" outlineLevel="0" collapsed="false">
      <c r="A75" s="2"/>
      <c r="B75" s="2"/>
      <c r="C75" s="42" t="s">
        <v>220</v>
      </c>
      <c r="D75" s="2"/>
      <c r="E75" s="2"/>
      <c r="F75" s="62" t="n">
        <f aca="false">F69/F72</f>
        <v>4.66804979253112</v>
      </c>
      <c r="G75" s="62" t="n">
        <f aca="false">G69/G72</f>
        <v>4.16416042873194</v>
      </c>
      <c r="H75" s="62" t="n">
        <f aca="false">H69/H72</f>
        <v>3.53195138520434</v>
      </c>
      <c r="I75" s="62" t="n">
        <f aca="false">I69/I72</f>
        <v>2.88579844981706</v>
      </c>
      <c r="J75" s="62" t="n">
        <f aca="false">J69/J72</f>
        <v>2.31595206161085</v>
      </c>
      <c r="K75" s="62" t="n">
        <f aca="false">K69/K72</f>
        <v>1.74827828074783</v>
      </c>
      <c r="L75" s="2"/>
      <c r="M75" s="2"/>
      <c r="N75" s="2"/>
    </row>
    <row r="76" customFormat="false" ht="15" hidden="false" customHeight="false" outlineLevel="0" collapsed="false">
      <c r="A76" s="2"/>
      <c r="B76" s="2"/>
      <c r="C76" s="2" t="s">
        <v>221</v>
      </c>
      <c r="D76" s="2"/>
      <c r="E76" s="2"/>
      <c r="F76" s="22" t="n">
        <f aca="false">F71/F72</f>
        <v>4.51244813278008</v>
      </c>
      <c r="G76" s="22" t="n">
        <f aca="false">G71/G72</f>
        <v>4.01896916343846</v>
      </c>
      <c r="H76" s="22" t="n">
        <f aca="false">H71/H72</f>
        <v>3.39875245846801</v>
      </c>
      <c r="I76" s="22" t="n">
        <f aca="false">I71/I72</f>
        <v>2.74232688150869</v>
      </c>
      <c r="J76" s="22" t="n">
        <f aca="false">J71/J72</f>
        <v>2.10533102735598</v>
      </c>
      <c r="K76" s="22" t="n">
        <f aca="false">K71/K72</f>
        <v>1.5170297570518</v>
      </c>
      <c r="L76" s="2"/>
      <c r="M76" s="2"/>
      <c r="N76" s="2"/>
    </row>
    <row r="77" customFormat="false" ht="15" hidden="false" customHeight="false" outlineLevel="0" collapsed="false">
      <c r="A77" s="2"/>
      <c r="B77" s="2"/>
      <c r="C77" s="2" t="s">
        <v>222</v>
      </c>
      <c r="D77" s="2"/>
      <c r="E77" s="2"/>
      <c r="F77" s="22" t="n">
        <f aca="false">(F69+8*F74)/F73</f>
        <v>5.45079365079365</v>
      </c>
      <c r="G77" s="22" t="n">
        <f aca="false">(G69+8*G74)/G73</f>
        <v>5.01841626198654</v>
      </c>
      <c r="H77" s="22" t="n">
        <f aca="false">(H69+8*H74)/H73</f>
        <v>4.47658800553884</v>
      </c>
      <c r="I77" s="22" t="n">
        <f aca="false">(I69+8*I74)/I73</f>
        <v>3.90814278947471</v>
      </c>
      <c r="J77" s="22" t="n">
        <f aca="false">(J69+8*J74)/J73</f>
        <v>3.39107592174402</v>
      </c>
      <c r="K77" s="22" t="n">
        <f aca="false">(K69+8*K74)/K73</f>
        <v>2.88226352005519</v>
      </c>
      <c r="L77" s="2"/>
      <c r="M77" s="2"/>
      <c r="N77" s="2"/>
    </row>
    <row r="78" customFormat="false" ht="15" hidden="false" customHeight="false" outlineLevel="0" collapsed="false">
      <c r="A78" s="2"/>
      <c r="B78" s="2"/>
      <c r="C78" s="2" t="s">
        <v>223</v>
      </c>
      <c r="D78" s="2"/>
      <c r="E78" s="2"/>
      <c r="F78" s="2"/>
      <c r="G78" s="22" t="n">
        <f aca="false">G72/-G17</f>
        <v>2.69530731928388</v>
      </c>
      <c r="H78" s="22" t="n">
        <f aca="false">H72/-H17</f>
        <v>3.13950254858415</v>
      </c>
      <c r="I78" s="22" t="n">
        <f aca="false">I72/-I17</f>
        <v>3.73131703487196</v>
      </c>
      <c r="J78" s="22" t="n">
        <f aca="false">J72/-J17</f>
        <v>4.50935331798593</v>
      </c>
      <c r="K78" s="22" t="n">
        <f aca="false">K72/-K17</f>
        <v>5.70179221036136</v>
      </c>
      <c r="L78" s="2"/>
      <c r="M78" s="2"/>
      <c r="N78" s="2"/>
    </row>
    <row r="79" customFormat="false" ht="15" hidden="false" customHeight="false" outlineLevel="0" collapsed="false">
      <c r="A79" s="2"/>
      <c r="B79" s="2"/>
      <c r="C79" s="2" t="s">
        <v>224</v>
      </c>
      <c r="D79" s="2"/>
      <c r="E79" s="2"/>
      <c r="F79" s="2"/>
      <c r="G79" s="22" t="n">
        <f aca="false">G73/(-G17+G74)</f>
        <v>1.95659308282876</v>
      </c>
      <c r="H79" s="22" t="n">
        <f aca="false">H73/(-H17+H74)</f>
        <v>2.16169387081744</v>
      </c>
      <c r="I79" s="22" t="n">
        <f aca="false">I73/(-I17+I74)</f>
        <v>2.41353207717435</v>
      </c>
      <c r="J79" s="22" t="n">
        <f aca="false">J73/(-J17+J74)</f>
        <v>2.71029702864399</v>
      </c>
      <c r="K79" s="22" t="n">
        <f aca="false">K73/(-K17+K74)</f>
        <v>3.07731388026368</v>
      </c>
      <c r="L79" s="2"/>
      <c r="M79" s="2"/>
      <c r="N79" s="2"/>
    </row>
    <row r="80" customFormat="false" ht="15" hidden="false" customHeight="false" outlineLevel="0" collapsed="false">
      <c r="A80" s="2"/>
      <c r="B80" s="2"/>
      <c r="C80" s="2" t="s">
        <v>225</v>
      </c>
      <c r="D80" s="2"/>
      <c r="E80" s="2"/>
      <c r="F80" s="2"/>
      <c r="G80" s="28" t="n">
        <f aca="false">1-G69/$F$69</f>
        <v>0.0439827950818792</v>
      </c>
      <c r="H80" s="28" t="n">
        <f aca="false">1-H69/$F$69</f>
        <v>0.116121160096141</v>
      </c>
      <c r="I80" s="28" t="n">
        <f aca="false">1-I69/$F$69</f>
        <v>0.209560181165649</v>
      </c>
      <c r="J80" s="28" t="n">
        <f aca="false">1-J69/$F$69</f>
        <v>0.306972717168578</v>
      </c>
      <c r="K80" s="28" t="n">
        <f aca="false">1-K69/$F$69</f>
        <v>0.438226867476999</v>
      </c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dataValidations count="1">
    <dataValidation allowBlank="false" errorStyle="stop" operator="between" showDropDown="false" showErrorMessage="false" showInputMessage="false" sqref="D6" type="list">
      <formula1>"On,Off"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4"/>
    <col collapsed="false" customWidth="true" hidden="false" outlineLevel="0" max="9" min="4" style="1" width="13"/>
    <col collapsed="false" customWidth="true" hidden="false" outlineLevel="0" max="10" min="10" style="1" width="40"/>
    <col collapsed="false" customWidth="true" hidden="false" outlineLevel="0" max="12" min="11" style="1" width="2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2"/>
      <c r="B2" s="2"/>
      <c r="C2" s="6" t="s">
        <v>226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14" t="s">
        <v>140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15"/>
      <c r="C5" s="12" t="s">
        <v>227</v>
      </c>
      <c r="D5" s="15"/>
      <c r="E5" s="15"/>
      <c r="F5" s="15"/>
      <c r="G5" s="15"/>
      <c r="H5" s="15"/>
      <c r="I5" s="15"/>
      <c r="J5" s="15"/>
      <c r="K5" s="2"/>
      <c r="L5" s="2"/>
      <c r="M5" s="2"/>
      <c r="N5" s="2"/>
    </row>
    <row r="6" customFormat="false" ht="15" hidden="false" customHeight="false" outlineLevel="0" collapsed="false">
      <c r="A6" s="2"/>
      <c r="B6" s="2"/>
      <c r="C6" s="2" t="s">
        <v>228</v>
      </c>
      <c r="D6" s="63" t="n">
        <v>5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2" t="s">
        <v>229</v>
      </c>
      <c r="D7" s="64" t="n">
        <v>7.25</v>
      </c>
      <c r="E7" s="2"/>
      <c r="F7" s="2"/>
      <c r="G7" s="2"/>
      <c r="H7" s="2"/>
      <c r="I7" s="2"/>
      <c r="J7" s="16" t="s">
        <v>230</v>
      </c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 t="s">
        <v>231</v>
      </c>
      <c r="D8" s="65" t="n">
        <f aca="false">Transaction!D32</f>
        <v>7.26141078838174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 t="s">
        <v>232</v>
      </c>
      <c r="D9" s="24" t="n">
        <v>0.015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15"/>
      <c r="C11" s="12" t="s">
        <v>233</v>
      </c>
      <c r="D11" s="15"/>
      <c r="E11" s="15"/>
      <c r="F11" s="15"/>
      <c r="G11" s="15"/>
      <c r="H11" s="15"/>
      <c r="I11" s="15"/>
      <c r="J11" s="15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 t="s">
        <v>234</v>
      </c>
      <c r="D12" s="43" t="n">
        <f aca="false">INDEX('Operating Model'!$G$14:$K$14,$D$6)</f>
        <v>144.598209804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7" t="s">
        <v>235</v>
      </c>
      <c r="D13" s="40" t="n">
        <f aca="false">D7*D12</f>
        <v>1048.337021079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2" t="s">
        <v>236</v>
      </c>
      <c r="D14" s="23" t="n">
        <f aca="false">-D13*D9</f>
        <v>-15.725055316185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 t="s">
        <v>237</v>
      </c>
      <c r="D15" s="43" t="n">
        <f aca="false">-INDEX('Debt Waterfall'!$G$69:$K$69,$D$6)</f>
        <v>-252.797909635351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 t="s">
        <v>238</v>
      </c>
      <c r="D16" s="43" t="n">
        <f aca="false">INDEX('Debt Waterfall'!$G$65:$K$65,$D$6)</f>
        <v>33.4381225462631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9" t="s">
        <v>239</v>
      </c>
      <c r="D17" s="30" t="n">
        <f aca="false">SUM(D13:D16)</f>
        <v>813.252178673728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 t="s">
        <v>240</v>
      </c>
      <c r="D18" s="43" t="n">
        <f aca="false">Transaction!D49</f>
        <v>298.125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9" t="s">
        <v>241</v>
      </c>
      <c r="D19" s="32" t="n">
        <f aca="false">D17/D18</f>
        <v>2.72788990750097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7" t="s">
        <v>242</v>
      </c>
      <c r="D20" s="66" t="n">
        <f aca="false">IF(D17&gt;0,(D17/D18)^(1/D6)-1,-1)</f>
        <v>0.222264977615593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7" t="s">
        <v>243</v>
      </c>
      <c r="D22" s="67" t="n">
        <v>0</v>
      </c>
      <c r="E22" s="67" t="n">
        <v>1</v>
      </c>
      <c r="F22" s="67" t="n">
        <v>2</v>
      </c>
      <c r="G22" s="67" t="n">
        <v>3</v>
      </c>
      <c r="H22" s="67" t="n">
        <v>4</v>
      </c>
      <c r="I22" s="67" t="n">
        <v>5</v>
      </c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 t="s">
        <v>244</v>
      </c>
      <c r="D23" s="23" t="n">
        <f aca="false">-D18</f>
        <v>-298.125</v>
      </c>
      <c r="E23" s="23" t="n">
        <f aca="false">IF(E$22=$D$6,$D$17,0)</f>
        <v>0</v>
      </c>
      <c r="F23" s="23" t="n">
        <f aca="false">IF(F$22=$D$6,$D$17,0)</f>
        <v>0</v>
      </c>
      <c r="G23" s="23" t="n">
        <f aca="false">IF(G$22=$D$6,$D$17,0)</f>
        <v>0</v>
      </c>
      <c r="H23" s="23" t="n">
        <f aca="false">IF(H$22=$D$6,$D$17,0)</f>
        <v>0</v>
      </c>
      <c r="I23" s="23" t="n">
        <f aca="false">IF(I$22=$D$6,$D$17,0)</f>
        <v>813.252178673728</v>
      </c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 t="s">
        <v>245</v>
      </c>
      <c r="D24" s="28" t="n">
        <f aca="false">IRR(D23:I23)</f>
        <v>0.222264977615593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15"/>
      <c r="C26" s="12" t="s">
        <v>246</v>
      </c>
      <c r="D26" s="15"/>
      <c r="E26" s="15"/>
      <c r="F26" s="15"/>
      <c r="G26" s="15"/>
      <c r="H26" s="15"/>
      <c r="I26" s="15"/>
      <c r="J26" s="15"/>
      <c r="K26" s="2"/>
      <c r="L26" s="2"/>
      <c r="M26" s="2"/>
      <c r="N26" s="2"/>
    </row>
    <row r="27" customFormat="false" ht="30" hidden="false" customHeight="true" outlineLevel="0" collapsed="false">
      <c r="A27" s="2"/>
      <c r="B27" s="2"/>
      <c r="C27" s="68" t="s">
        <v>247</v>
      </c>
      <c r="D27" s="69" t="s">
        <v>248</v>
      </c>
      <c r="E27" s="69" t="s">
        <v>249</v>
      </c>
      <c r="F27" s="69" t="s">
        <v>250</v>
      </c>
      <c r="G27" s="69" t="s">
        <v>251</v>
      </c>
      <c r="H27" s="2"/>
      <c r="I27" s="2"/>
      <c r="J27" s="68" t="s">
        <v>252</v>
      </c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70" t="n">
        <v>0</v>
      </c>
      <c r="D28" s="23" t="n">
        <f aca="false">$D$18*(1+C28)^$D$6</f>
        <v>298.125</v>
      </c>
      <c r="E28" s="23" t="n">
        <f aca="false">(D28-$D$15-$D$16)/(1-$D$9)</f>
        <v>525.365266080292</v>
      </c>
      <c r="F28" s="22" t="n">
        <f aca="false">E28/$D$12</f>
        <v>3.63327642017432</v>
      </c>
      <c r="G28" s="22" t="n">
        <f aca="false">$D$7-F28</f>
        <v>3.61672357982568</v>
      </c>
      <c r="H28" s="2"/>
      <c r="I28" s="2"/>
      <c r="J28" s="16" t="s">
        <v>253</v>
      </c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70" t="n">
        <v>0.08</v>
      </c>
      <c r="D29" s="23" t="n">
        <f aca="false">$D$18*(1+C29)^$D$6</f>
        <v>438.043432896</v>
      </c>
      <c r="E29" s="23" t="n">
        <f aca="false">(D29-$D$15-$D$16)/(1-$D$9)</f>
        <v>667.414436533084</v>
      </c>
      <c r="F29" s="22" t="n">
        <f aca="false">E29/$D$12</f>
        <v>4.61564799064768</v>
      </c>
      <c r="G29" s="22" t="n">
        <f aca="false">$D$7-F29</f>
        <v>2.63435200935232</v>
      </c>
      <c r="H29" s="2"/>
      <c r="I29" s="2"/>
      <c r="J29" s="16" t="s">
        <v>254</v>
      </c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70" t="n">
        <v>0.15</v>
      </c>
      <c r="D30" s="23" t="n">
        <f aca="false">$D$18*(1+C30)^$D$6</f>
        <v>599.635861523437</v>
      </c>
      <c r="E30" s="23" t="n">
        <f aca="false">(D30-$D$15-$D$16)/(1-$D$9)</f>
        <v>831.467663566015</v>
      </c>
      <c r="F30" s="22" t="n">
        <f aca="false">E30/$D$12</f>
        <v>5.75019334397745</v>
      </c>
      <c r="G30" s="22" t="n">
        <f aca="false">$D$7-F30</f>
        <v>1.49980665602256</v>
      </c>
      <c r="H30" s="2"/>
      <c r="I30" s="2"/>
      <c r="J30" s="16" t="s">
        <v>255</v>
      </c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70" t="n">
        <v>0.2</v>
      </c>
      <c r="D31" s="23" t="n">
        <f aca="false">$D$18*(1+C31)^$D$6</f>
        <v>741.8304</v>
      </c>
      <c r="E31" s="23" t="n">
        <f aca="false">(D31-$D$15-$D$16)/(1-$D$9)</f>
        <v>975.827601105673</v>
      </c>
      <c r="F31" s="22" t="n">
        <f aca="false">E31/$D$12</f>
        <v>6.74854552091888</v>
      </c>
      <c r="G31" s="22" t="n">
        <f aca="false">$D$7-F31</f>
        <v>0.501454479081122</v>
      </c>
      <c r="H31" s="2"/>
      <c r="I31" s="2"/>
      <c r="J31" s="16" t="s">
        <v>256</v>
      </c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70" t="n">
        <v>0.25</v>
      </c>
      <c r="D32" s="23" t="n">
        <f aca="false">$D$18*(1+C32)^$D$6</f>
        <v>909.805297851563</v>
      </c>
      <c r="E32" s="23" t="n">
        <f aca="false">(D32-$D$15-$D$16)/(1-$D$9)</f>
        <v>1146.36049232553</v>
      </c>
      <c r="F32" s="22" t="n">
        <f aca="false">E32/$D$12</f>
        <v>7.9279023846796</v>
      </c>
      <c r="G32" s="22" t="n">
        <f aca="false">$D$7-F32</f>
        <v>-0.677902384679602</v>
      </c>
      <c r="H32" s="2"/>
      <c r="I32" s="2"/>
      <c r="J32" s="16" t="s">
        <v>257</v>
      </c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15"/>
      <c r="C34" s="12" t="s">
        <v>258</v>
      </c>
      <c r="D34" s="15"/>
      <c r="E34" s="15"/>
      <c r="F34" s="15"/>
      <c r="G34" s="15"/>
      <c r="H34" s="15"/>
      <c r="I34" s="15"/>
      <c r="J34" s="15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5" t="s">
        <v>259</v>
      </c>
      <c r="D35" s="71" t="n">
        <v>3</v>
      </c>
      <c r="E35" s="71" t="n">
        <v>4</v>
      </c>
      <c r="F35" s="71" t="n">
        <v>5</v>
      </c>
      <c r="G35" s="2"/>
      <c r="H35" s="7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73" t="n">
        <v>6</v>
      </c>
      <c r="D36" s="74" t="n">
        <f aca="false">IFERROR((($C36*INDEX('Operating Model'!$G$14:$K$14,D$35)*(1-$D$9)-INDEX('Debt Waterfall'!$G$69:$K$69,D$35)+INDEX('Debt Waterfall'!$G$65:$K$65,D$35))/$D$18)^(1/D$35)-1,"n.m.")</f>
        <v>0.0940884421753059</v>
      </c>
      <c r="E36" s="74" t="n">
        <f aca="false">IFERROR((($C36*INDEX('Operating Model'!$G$14:$K$14,E$35)*(1-$D$9)-INDEX('Debt Waterfall'!$G$69:$K$69,E$35)+INDEX('Debt Waterfall'!$G$65:$K$65,E$35))/$D$18)^(1/E$35)-1,"n.m.")</f>
        <v>0.144953740221641</v>
      </c>
      <c r="F36" s="74" t="n">
        <f aca="false">IFERROR((($C36*INDEX('Operating Model'!$G$14:$K$14,F$35)*(1-$D$9)-INDEX('Debt Waterfall'!$G$69:$K$69,F$35)+INDEX('Debt Waterfall'!$G$65:$K$65,F$35))/$D$18)^(1/F$35)-1,"n.m.")</f>
        <v>0.163334361992748</v>
      </c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73" t="n">
        <v>6.5</v>
      </c>
      <c r="D37" s="74" t="n">
        <f aca="false">IFERROR((($C37*INDEX('Operating Model'!$G$14:$K$14,D$35)*(1-$D$9)-INDEX('Debt Waterfall'!$G$69:$K$69,D$35)+INDEX('Debt Waterfall'!$G$65:$K$65,D$35))/$D$18)^(1/D$35)-1,"n.m.")</f>
        <v>0.14808185432934</v>
      </c>
      <c r="E37" s="74" t="n">
        <f aca="false">IFERROR((($C37*INDEX('Operating Model'!$G$14:$K$14,E$35)*(1-$D$9)-INDEX('Debt Waterfall'!$G$69:$K$69,E$35)+INDEX('Debt Waterfall'!$G$65:$K$65,E$35))/$D$18)^(1/E$35)-1,"n.m.")</f>
        <v>0.180332400451717</v>
      </c>
      <c r="F37" s="74" t="n">
        <f aca="false">IFERROR((($C37*INDEX('Operating Model'!$G$14:$K$14,F$35)*(1-$D$9)-INDEX('Debt Waterfall'!$G$69:$K$69,F$35)+INDEX('Debt Waterfall'!$G$65:$K$65,F$35))/$D$18)^(1/F$35)-1,"n.m.")</f>
        <v>0.188322111996157</v>
      </c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73" t="n">
        <v>7</v>
      </c>
      <c r="D38" s="74" t="n">
        <f aca="false">IFERROR((($C38*INDEX('Operating Model'!$G$14:$K$14,D$35)*(1-$D$9)-INDEX('Debt Waterfall'!$G$69:$K$69,D$35)+INDEX('Debt Waterfall'!$G$65:$K$65,D$35))/$D$18)^(1/D$35)-1,"n.m.")</f>
        <v>0.197424737730498</v>
      </c>
      <c r="E38" s="74" t="n">
        <f aca="false">IFERROR((($C38*INDEX('Operating Model'!$G$14:$K$14,E$35)*(1-$D$9)-INDEX('Debt Waterfall'!$G$69:$K$69,E$35)+INDEX('Debt Waterfall'!$G$65:$K$65,E$35))/$D$18)^(1/E$35)-1,"n.m.")</f>
        <v>0.212788571358229</v>
      </c>
      <c r="F38" s="74" t="n">
        <f aca="false">IFERROR((($C38*INDEX('Operating Model'!$G$14:$K$14,F$35)*(1-$D$9)-INDEX('Debt Waterfall'!$G$69:$K$69,F$35)+INDEX('Debt Waterfall'!$G$65:$K$65,F$35))/$D$18)^(1/F$35)-1,"n.m.")</f>
        <v>0.211369355498562</v>
      </c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73" t="n">
        <v>7.5</v>
      </c>
      <c r="D39" s="74" t="n">
        <f aca="false">IFERROR((($C39*INDEX('Operating Model'!$G$14:$K$14,D$35)*(1-$D$9)-INDEX('Debt Waterfall'!$G$69:$K$69,D$35)+INDEX('Debt Waterfall'!$G$65:$K$65,D$35))/$D$18)^(1/D$35)-1,"n.m.")</f>
        <v>0.243005199282359</v>
      </c>
      <c r="E39" s="74" t="n">
        <f aca="false">IFERROR((($C39*INDEX('Operating Model'!$G$14:$K$14,E$35)*(1-$D$9)-INDEX('Debt Waterfall'!$G$69:$K$69,E$35)+INDEX('Debt Waterfall'!$G$65:$K$65,E$35))/$D$18)^(1/E$35)-1,"n.m.")</f>
        <v>0.242830187513476</v>
      </c>
      <c r="F39" s="74" t="n">
        <f aca="false">IFERROR((($C39*INDEX('Operating Model'!$G$14:$K$14,F$35)*(1-$D$9)-INDEX('Debt Waterfall'!$G$69:$K$69,F$35)+INDEX('Debt Waterfall'!$G$65:$K$65,F$35))/$D$18)^(1/F$35)-1,"n.m.")</f>
        <v>0.232785399473224</v>
      </c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73" t="n">
        <v>8</v>
      </c>
      <c r="D40" s="74" t="n">
        <f aca="false">IFERROR((($C40*INDEX('Operating Model'!$G$14:$K$14,D$35)*(1-$D$9)-INDEX('Debt Waterfall'!$G$69:$K$69,D$35)+INDEX('Debt Waterfall'!$G$65:$K$65,D$35))/$D$18)^(1/D$35)-1,"n.m.")</f>
        <v>0.285467596292564</v>
      </c>
      <c r="E40" s="74" t="n">
        <f aca="false">IFERROR((($C40*INDEX('Operating Model'!$G$14:$K$14,E$35)*(1-$D$9)-INDEX('Debt Waterfall'!$G$69:$K$69,E$35)+INDEX('Debt Waterfall'!$G$65:$K$65,E$35))/$D$18)^(1/E$35)-1,"n.m.")</f>
        <v>0.270838883696851</v>
      </c>
      <c r="F40" s="74" t="n">
        <f aca="false">IFERROR((($C40*INDEX('Operating Model'!$G$14:$K$14,F$35)*(1-$D$9)-INDEX('Debt Waterfall'!$G$69:$K$69,F$35)+INDEX('Debt Waterfall'!$G$65:$K$65,F$35))/$D$18)^(1/F$35)-1,"n.m.")</f>
        <v>0.25280905127852</v>
      </c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73" t="n">
        <v>8.5</v>
      </c>
      <c r="D41" s="74" t="n">
        <f aca="false">IFERROR((($C41*INDEX('Operating Model'!$G$14:$K$14,D$35)*(1-$D$9)-INDEX('Debt Waterfall'!$G$69:$K$69,D$35)+INDEX('Debt Waterfall'!$G$65:$K$65,D$35))/$D$18)^(1/D$35)-1,"n.m.")</f>
        <v>0.325296019216886</v>
      </c>
      <c r="E41" s="74" t="n">
        <f aca="false">IFERROR((($C41*INDEX('Operating Model'!$G$14:$K$14,E$35)*(1-$D$9)-INDEX('Debt Waterfall'!$G$69:$K$69,E$35)+INDEX('Debt Waterfall'!$G$65:$K$65,E$35))/$D$18)^(1/E$35)-1,"n.m.")</f>
        <v>0.29710929658127</v>
      </c>
      <c r="F41" s="74" t="n">
        <f aca="false">IFERROR((($C41*INDEX('Operating Model'!$G$14:$K$14,F$35)*(1-$D$9)-INDEX('Debt Waterfall'!$G$69:$K$69,F$35)+INDEX('Debt Waterfall'!$G$65:$K$65,F$35))/$D$18)^(1/F$35)-1,"n.m.")</f>
        <v>0.271628796113962</v>
      </c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73" t="n">
        <v>9</v>
      </c>
      <c r="D42" s="74" t="n">
        <f aca="false">IFERROR((($C42*INDEX('Operating Model'!$G$14:$K$14,D$35)*(1-$D$9)-INDEX('Debt Waterfall'!$G$69:$K$69,D$35)+INDEX('Debt Waterfall'!$G$65:$K$65,D$35))/$D$18)^(1/D$35)-1,"n.m.")</f>
        <v>0.362864466277775</v>
      </c>
      <c r="E42" s="74" t="n">
        <f aca="false">IFERROR((($C42*INDEX('Operating Model'!$G$14:$K$14,E$35)*(1-$D$9)-INDEX('Debt Waterfall'!$G$69:$K$69,E$35)+INDEX('Debt Waterfall'!$G$65:$K$65,E$35))/$D$18)^(1/E$35)-1,"n.m.")</f>
        <v>0.321874053640802</v>
      </c>
      <c r="F42" s="74" t="n">
        <f aca="false">IFERROR((($C42*INDEX('Operating Model'!$G$14:$K$14,F$35)*(1-$D$9)-INDEX('Debt Waterfall'!$G$69:$K$69,F$35)+INDEX('Debt Waterfall'!$G$65:$K$65,F$35))/$D$18)^(1/F$35)-1,"n.m.")</f>
        <v>0.289396187473111</v>
      </c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5" t="s">
        <v>260</v>
      </c>
      <c r="D44" s="75" t="n">
        <f aca="false">D35</f>
        <v>3</v>
      </c>
      <c r="E44" s="75" t="n">
        <f aca="false">E35</f>
        <v>4</v>
      </c>
      <c r="F44" s="75" t="n">
        <f aca="false">F35</f>
        <v>5</v>
      </c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76" t="n">
        <f aca="false">C36</f>
        <v>6</v>
      </c>
      <c r="D45" s="77" t="n">
        <f aca="false">($C45*INDEX('Operating Model'!$G$14:$K$14,D$44)*(1-$D$9)-INDEX('Debt Waterfall'!$G$69:$K$69,D$44)+INDEX('Debt Waterfall'!$G$65:$K$65,D$44))/$D$18</f>
        <v>1.30965616201053</v>
      </c>
      <c r="E45" s="77" t="n">
        <f aca="false">($C45*INDEX('Operating Model'!$G$14:$K$14,E$44)*(1-$D$9)-INDEX('Debt Waterfall'!$G$69:$K$69,E$44)+INDEX('Debt Waterfall'!$G$65:$K$65,E$44))/$D$18</f>
        <v>1.71850880087312</v>
      </c>
      <c r="F45" s="77" t="n">
        <f aca="false">($C45*INDEX('Operating Model'!$G$14:$K$14,F$44)*(1-$D$9)-INDEX('Debt Waterfall'!$G$69:$K$69,F$44)+INDEX('Debt Waterfall'!$G$65:$K$65,F$44))/$D$18</f>
        <v>2.13070233241946</v>
      </c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76" t="n">
        <f aca="false">C37</f>
        <v>6.5</v>
      </c>
      <c r="D46" s="77" t="n">
        <f aca="false">($C46*INDEX('Operating Model'!$G$14:$K$14,D$44)*(1-$D$9)-INDEX('Debt Waterfall'!$G$69:$K$69,D$44)+INDEX('Debt Waterfall'!$G$65:$K$65,D$44))/$D$18</f>
        <v>1.51327744351996</v>
      </c>
      <c r="E46" s="77" t="n">
        <f aca="false">($C46*INDEX('Operating Model'!$G$14:$K$14,E$44)*(1-$D$9)-INDEX('Debt Waterfall'!$G$69:$K$69,E$44)+INDEX('Debt Waterfall'!$G$65:$K$65,E$44))/$D$18</f>
        <v>1.94096326156746</v>
      </c>
      <c r="F46" s="77" t="n">
        <f aca="false">($C46*INDEX('Operating Model'!$G$14:$K$14,F$44)*(1-$D$9)-INDEX('Debt Waterfall'!$G$69:$K$69,F$44)+INDEX('Debt Waterfall'!$G$65:$K$65,F$44))/$D$18</f>
        <v>2.36957736245207</v>
      </c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76" t="n">
        <f aca="false">C38</f>
        <v>7</v>
      </c>
      <c r="D47" s="77" t="n">
        <f aca="false">($C47*INDEX('Operating Model'!$G$14:$K$14,D$44)*(1-$D$9)-INDEX('Debt Waterfall'!$G$69:$K$69,D$44)+INDEX('Debt Waterfall'!$G$65:$K$65,D$44))/$D$18</f>
        <v>1.7168987250294</v>
      </c>
      <c r="E47" s="77" t="n">
        <f aca="false">($C47*INDEX('Operating Model'!$G$14:$K$14,E$44)*(1-$D$9)-INDEX('Debt Waterfall'!$G$69:$K$69,E$44)+INDEX('Debt Waterfall'!$G$65:$K$65,E$44))/$D$18</f>
        <v>2.1634177222618</v>
      </c>
      <c r="F47" s="77" t="n">
        <f aca="false">($C47*INDEX('Operating Model'!$G$14:$K$14,F$44)*(1-$D$9)-INDEX('Debt Waterfall'!$G$69:$K$69,F$44)+INDEX('Debt Waterfall'!$G$65:$K$65,F$44))/$D$18</f>
        <v>2.60845239248467</v>
      </c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76" t="n">
        <f aca="false">C39</f>
        <v>7.5</v>
      </c>
      <c r="D48" s="77" t="n">
        <f aca="false">($C48*INDEX('Operating Model'!$G$14:$K$14,D$44)*(1-$D$9)-INDEX('Debt Waterfall'!$G$69:$K$69,D$44)+INDEX('Debt Waterfall'!$G$65:$K$65,D$44))/$D$18</f>
        <v>1.92052000653883</v>
      </c>
      <c r="E48" s="77" t="n">
        <f aca="false">($C48*INDEX('Operating Model'!$G$14:$K$14,E$44)*(1-$D$9)-INDEX('Debt Waterfall'!$G$69:$K$69,E$44)+INDEX('Debt Waterfall'!$G$65:$K$65,E$44))/$D$18</f>
        <v>2.38587218295614</v>
      </c>
      <c r="F48" s="77" t="n">
        <f aca="false">($C48*INDEX('Operating Model'!$G$14:$K$14,F$44)*(1-$D$9)-INDEX('Debt Waterfall'!$G$69:$K$69,F$44)+INDEX('Debt Waterfall'!$G$65:$K$65,F$44))/$D$18</f>
        <v>2.84732742251728</v>
      </c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76" t="n">
        <f aca="false">C40</f>
        <v>8</v>
      </c>
      <c r="D49" s="77" t="n">
        <f aca="false">($C49*INDEX('Operating Model'!$G$14:$K$14,D$44)*(1-$D$9)-INDEX('Debt Waterfall'!$G$69:$K$69,D$44)+INDEX('Debt Waterfall'!$G$65:$K$65,D$44))/$D$18</f>
        <v>2.12414128804827</v>
      </c>
      <c r="E49" s="77" t="n">
        <f aca="false">($C49*INDEX('Operating Model'!$G$14:$K$14,E$44)*(1-$D$9)-INDEX('Debt Waterfall'!$G$69:$K$69,E$44)+INDEX('Debt Waterfall'!$G$65:$K$65,E$44))/$D$18</f>
        <v>2.60832664365048</v>
      </c>
      <c r="F49" s="77" t="n">
        <f aca="false">($C49*INDEX('Operating Model'!$G$14:$K$14,F$44)*(1-$D$9)-INDEX('Debt Waterfall'!$G$69:$K$69,F$44)+INDEX('Debt Waterfall'!$G$65:$K$65,F$44))/$D$18</f>
        <v>3.08620245254988</v>
      </c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76" t="n">
        <f aca="false">C41</f>
        <v>8.5</v>
      </c>
      <c r="D50" s="77" t="n">
        <f aca="false">($C50*INDEX('Operating Model'!$G$14:$K$14,D$44)*(1-$D$9)-INDEX('Debt Waterfall'!$G$69:$K$69,D$44)+INDEX('Debt Waterfall'!$G$65:$K$65,D$44))/$D$18</f>
        <v>2.3277625695577</v>
      </c>
      <c r="E50" s="77" t="n">
        <f aca="false">($C50*INDEX('Operating Model'!$G$14:$K$14,E$44)*(1-$D$9)-INDEX('Debt Waterfall'!$G$69:$K$69,E$44)+INDEX('Debt Waterfall'!$G$65:$K$65,E$44))/$D$18</f>
        <v>2.83078110434482</v>
      </c>
      <c r="F50" s="77" t="n">
        <f aca="false">($C50*INDEX('Operating Model'!$G$14:$K$14,F$44)*(1-$D$9)-INDEX('Debt Waterfall'!$G$69:$K$69,F$44)+INDEX('Debt Waterfall'!$G$65:$K$65,F$44))/$D$18</f>
        <v>3.32507748258248</v>
      </c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76" t="n">
        <f aca="false">C42</f>
        <v>9</v>
      </c>
      <c r="D51" s="77" t="n">
        <f aca="false">($C51*INDEX('Operating Model'!$G$14:$K$14,D$44)*(1-$D$9)-INDEX('Debt Waterfall'!$G$69:$K$69,D$44)+INDEX('Debt Waterfall'!$G$65:$K$65,D$44))/$D$18</f>
        <v>2.53138385106713</v>
      </c>
      <c r="E51" s="77" t="n">
        <f aca="false">($C51*INDEX('Operating Model'!$G$14:$K$14,E$44)*(1-$D$9)-INDEX('Debt Waterfall'!$G$69:$K$69,E$44)+INDEX('Debt Waterfall'!$G$65:$K$65,E$44))/$D$18</f>
        <v>3.05323556503916</v>
      </c>
      <c r="F51" s="77" t="n">
        <f aca="false">($C51*INDEX('Operating Model'!$G$14:$K$14,F$44)*(1-$D$9)-INDEX('Debt Waterfall'!$G$69:$K$69,F$44)+INDEX('Debt Waterfall'!$G$65:$K$65,F$44))/$D$18</f>
        <v>3.56395251261509</v>
      </c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15"/>
      <c r="C53" s="12" t="s">
        <v>261</v>
      </c>
      <c r="D53" s="15"/>
      <c r="E53" s="15"/>
      <c r="F53" s="15"/>
      <c r="G53" s="15"/>
      <c r="H53" s="15"/>
      <c r="I53" s="15"/>
      <c r="J53" s="15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 t="s">
        <v>262</v>
      </c>
      <c r="D54" s="20" t="n">
        <v>0.08</v>
      </c>
      <c r="E54" s="2"/>
      <c r="F54" s="2"/>
      <c r="G54" s="2"/>
      <c r="H54" s="2"/>
      <c r="I54" s="2"/>
      <c r="J54" s="16" t="s">
        <v>263</v>
      </c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 t="s">
        <v>264</v>
      </c>
      <c r="D55" s="20" t="n">
        <v>0.2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 t="s">
        <v>265</v>
      </c>
      <c r="D56" s="8" t="s">
        <v>266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 t="s">
        <v>267</v>
      </c>
      <c r="D58" s="23" t="n">
        <f aca="false">MAX(0,D17)</f>
        <v>813.252178673728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 t="s">
        <v>268</v>
      </c>
      <c r="D59" s="23" t="n">
        <f aca="false">D18</f>
        <v>298.125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 t="s">
        <v>269</v>
      </c>
      <c r="D60" s="78" t="n">
        <f aca="false">D6</f>
        <v>5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5" t="s">
        <v>270</v>
      </c>
      <c r="D62" s="26" t="s">
        <v>271</v>
      </c>
      <c r="E62" s="26" t="s">
        <v>272</v>
      </c>
      <c r="F62" s="26" t="s">
        <v>273</v>
      </c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 t="s">
        <v>274</v>
      </c>
      <c r="D63" s="23" t="n">
        <f aca="false">MIN($D$58,$D$59)</f>
        <v>298.125</v>
      </c>
      <c r="E63" s="23" t="n">
        <f aca="false">0</f>
        <v>0</v>
      </c>
      <c r="F63" s="23" t="n">
        <f aca="false">D63+E63</f>
        <v>298.125</v>
      </c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 t="s">
        <v>275</v>
      </c>
      <c r="D64" s="23" t="n">
        <f aca="false">MIN($D$58-D63,$D$59*((1+$D$54)^$D$60-1))</f>
        <v>139.918432896</v>
      </c>
      <c r="E64" s="23" t="n">
        <f aca="false">0</f>
        <v>0</v>
      </c>
      <c r="F64" s="23" t="n">
        <f aca="false">D64+E64</f>
        <v>139.918432896</v>
      </c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 t="s">
        <v>276</v>
      </c>
      <c r="D65" s="23" t="n">
        <f aca="false">0</f>
        <v>0</v>
      </c>
      <c r="E65" s="23" t="n">
        <f aca="false">MIN($D$58-D63-D64,D64*$D$55/(1-$D$55))</f>
        <v>34.979608224</v>
      </c>
      <c r="F65" s="23" t="n">
        <f aca="false">D65+E65</f>
        <v>34.979608224</v>
      </c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 t="s">
        <v>277</v>
      </c>
      <c r="D66" s="23" t="n">
        <f aca="false">($D$58-D63-D64-E65)*(1-$D$55)</f>
        <v>272.183310042982</v>
      </c>
      <c r="E66" s="23" t="n">
        <f aca="false">($D$58-D63-D64-E65)*$D$55</f>
        <v>68.0458275107455</v>
      </c>
      <c r="F66" s="23" t="n">
        <f aca="false">D66+E66</f>
        <v>340.229137553727</v>
      </c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9" t="s">
        <v>273</v>
      </c>
      <c r="D67" s="30" t="n">
        <f aca="false">SUM(D63:D66)</f>
        <v>710.226742938982</v>
      </c>
      <c r="E67" s="30" t="n">
        <f aca="false">SUM(E63:E66)</f>
        <v>103.025435734746</v>
      </c>
      <c r="F67" s="30" t="n">
        <f aca="false">SUM(F63:F66)</f>
        <v>813.252178673728</v>
      </c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7" t="s">
        <v>278</v>
      </c>
      <c r="D69" s="79" t="n">
        <f aca="false">D67/D59</f>
        <v>2.38231192600078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7" t="s">
        <v>279</v>
      </c>
      <c r="D70" s="66" t="n">
        <f aca="false">IF(D67&gt;0,(D67/D59)^(1/D60)-1,-1)</f>
        <v>0.189596629354651</v>
      </c>
      <c r="E70" s="2"/>
      <c r="F70" s="2"/>
      <c r="G70" s="2"/>
      <c r="H70" s="2"/>
      <c r="I70" s="2"/>
      <c r="J70" s="16" t="s">
        <v>280</v>
      </c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 t="s">
        <v>281</v>
      </c>
      <c r="D71" s="23" t="n">
        <f aca="false">E67</f>
        <v>103.025435734746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 t="s">
        <v>282</v>
      </c>
      <c r="D72" s="28" t="n">
        <f aca="false">IFERROR(E67/(F67-D59),0)</f>
        <v>0.2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2026-10-11T14:39:50Z</dcterms:created>
  <dc:creator>openpyxl</dc:creator>
  <dc:description/>
  <dc:language>en-US</dc:language>
  <cp:lastModifiedBy/>
  <dcterms:modified xsi:type="dcterms:W3CDTF">2026-10-11T14:39:51Z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